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fia\Downloads\"/>
    </mc:Choice>
  </mc:AlternateContent>
  <xr:revisionPtr revIDLastSave="0" documentId="13_ncr:1_{8DB07B98-5CE6-40C4-AB98-EFF5B9CF6BBF}" xr6:coauthVersionLast="47" xr6:coauthVersionMax="47" xr10:uidLastSave="{00000000-0000-0000-0000-000000000000}"/>
  <bookViews>
    <workbookView xWindow="-108" yWindow="-108" windowWidth="23256" windowHeight="12456" tabRatio="500" firstSheet="6" activeTab="8" xr2:uid="{00000000-000D-0000-FFFF-FFFF00000000}"/>
  </bookViews>
  <sheets>
    <sheet name="Dim_Clientes" sheetId="1" r:id="rId1"/>
    <sheet name="Dim_Empleados" sheetId="2" r:id="rId2"/>
    <sheet name="Dim_Tiempo_Finanzas" sheetId="3" r:id="rId3"/>
    <sheet name="Dim_Capacitacion" sheetId="4" r:id="rId4"/>
    <sheet name="Dim_Tecnicas" sheetId="5" r:id="rId5"/>
    <sheet name="Dim_Ref2025" sheetId="6" r:id="rId6"/>
    <sheet name="Empleado_Proyecto" sheetId="7" r:id="rId7"/>
    <sheet name="Fact_Gestion_NTM" sheetId="8" r:id="rId8"/>
    <sheet name="Resumen_CMI_Automatizacion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9" l="1"/>
  <c r="I4" i="9" s="1"/>
  <c r="E3" i="9"/>
  <c r="I3" i="9" s="1"/>
  <c r="E2" i="9"/>
  <c r="I2" i="9" s="1"/>
  <c r="D11" i="2"/>
  <c r="E5" i="9" s="1"/>
  <c r="I5" i="9" s="1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<sst xmlns="http://schemas.openxmlformats.org/spreadsheetml/2006/main" count="1439" uniqueCount="523">
  <si>
    <t>ID_Cliente</t>
  </si>
  <si>
    <t>Nombre</t>
  </si>
  <si>
    <t>NPS</t>
  </si>
  <si>
    <t>Cliente_2025</t>
  </si>
  <si>
    <t>Activo_2026</t>
  </si>
  <si>
    <t>Retenido</t>
  </si>
  <si>
    <t>C-2001</t>
  </si>
  <si>
    <t>Viña del Mar Films</t>
  </si>
  <si>
    <t>No</t>
  </si>
  <si>
    <t>Sí</t>
  </si>
  <si>
    <t>N/A</t>
  </si>
  <si>
    <t>C-2002</t>
  </si>
  <si>
    <t>Boda Romero</t>
  </si>
  <si>
    <t>C-2003</t>
  </si>
  <si>
    <t>SunnyTech</t>
  </si>
  <si>
    <t>C-2004</t>
  </si>
  <si>
    <t>Restaurante La Fragua</t>
  </si>
  <si>
    <t>C-2005</t>
  </si>
  <si>
    <t>Marca Aurora</t>
  </si>
  <si>
    <t>C-2006</t>
  </si>
  <si>
    <t>Club Dep. Sur</t>
  </si>
  <si>
    <t>C-2007</t>
  </si>
  <si>
    <t>ONG Verde</t>
  </si>
  <si>
    <t>C-2008</t>
  </si>
  <si>
    <t>Boda Castro</t>
  </si>
  <si>
    <t>C-2009</t>
  </si>
  <si>
    <t>Productora Plus</t>
  </si>
  <si>
    <t>C-2010</t>
  </si>
  <si>
    <t>Marca Latte</t>
  </si>
  <si>
    <t>C-2011</t>
  </si>
  <si>
    <t>Universidad Norte</t>
  </si>
  <si>
    <t>C-2012</t>
  </si>
  <si>
    <t>Boda Peña</t>
  </si>
  <si>
    <t>C-2013</t>
  </si>
  <si>
    <t>Mun. Concepción</t>
  </si>
  <si>
    <t>C-2014</t>
  </si>
  <si>
    <t>Boda Morales</t>
  </si>
  <si>
    <t>C-2015</t>
  </si>
  <si>
    <t>Marca BioMar</t>
  </si>
  <si>
    <t>C-2016</t>
  </si>
  <si>
    <t>Hotel Andes</t>
  </si>
  <si>
    <t>C-2017</t>
  </si>
  <si>
    <t>Boda Silva</t>
  </si>
  <si>
    <t>C-2018</t>
  </si>
  <si>
    <t>TechFest 2026</t>
  </si>
  <si>
    <t>C-2019</t>
  </si>
  <si>
    <t>Boda Vergara</t>
  </si>
  <si>
    <t>C-2020</t>
  </si>
  <si>
    <t>Marca PinkLab</t>
  </si>
  <si>
    <t>C-2021</t>
  </si>
  <si>
    <t>Boda Riquelme</t>
  </si>
  <si>
    <t>C-2022</t>
  </si>
  <si>
    <t>RestoBar Centro</t>
  </si>
  <si>
    <t>C-2023</t>
  </si>
  <si>
    <t>Boda Jaña</t>
  </si>
  <si>
    <t>C-2024</t>
  </si>
  <si>
    <t>Festival Cultura</t>
  </si>
  <si>
    <t>C-2025</t>
  </si>
  <si>
    <t>Boda Muñoz</t>
  </si>
  <si>
    <t>C-2026</t>
  </si>
  <si>
    <t>Marca SolarPro</t>
  </si>
  <si>
    <t>C-2027</t>
  </si>
  <si>
    <t>Boda Tapia</t>
  </si>
  <si>
    <t>C-2028</t>
  </si>
  <si>
    <t>ExpoCorp 2026</t>
  </si>
  <si>
    <t>C-2029</t>
  </si>
  <si>
    <t>Boda Henríquez</t>
  </si>
  <si>
    <t>C-2030</t>
  </si>
  <si>
    <t>Marca Trail</t>
  </si>
  <si>
    <t>C-2031</t>
  </si>
  <si>
    <t>Boda León</t>
  </si>
  <si>
    <t>C-2032</t>
  </si>
  <si>
    <t>Boda Vargas</t>
  </si>
  <si>
    <t>C-2033</t>
  </si>
  <si>
    <t>Marca AquaPure</t>
  </si>
  <si>
    <t>C-2034</t>
  </si>
  <si>
    <t>Boda Aravena</t>
  </si>
  <si>
    <t>C-2035</t>
  </si>
  <si>
    <t>Clínica Vital</t>
  </si>
  <si>
    <t>C-2036</t>
  </si>
  <si>
    <t>Boda Soto</t>
  </si>
  <si>
    <t>C-2037</t>
  </si>
  <si>
    <t>Marca Crujiente</t>
  </si>
  <si>
    <t>C-2038</t>
  </si>
  <si>
    <t>Boda Espinoza</t>
  </si>
  <si>
    <t>C-2039</t>
  </si>
  <si>
    <t>Boda Carrasco</t>
  </si>
  <si>
    <t>C-2040</t>
  </si>
  <si>
    <t>CentroEducaT</t>
  </si>
  <si>
    <t>C-2041</t>
  </si>
  <si>
    <t>Marca Ferndale</t>
  </si>
  <si>
    <t>C-2042</t>
  </si>
  <si>
    <t>Hotel Costa</t>
  </si>
  <si>
    <t>C-2043</t>
  </si>
  <si>
    <t>Marca Voltio</t>
  </si>
  <si>
    <t>C-2044</t>
  </si>
  <si>
    <t>Tienda Origami</t>
  </si>
  <si>
    <t>C-2045</t>
  </si>
  <si>
    <t>Café Bohemio</t>
  </si>
  <si>
    <t>C-2046</t>
  </si>
  <si>
    <t>Boda Quezada</t>
  </si>
  <si>
    <t>C-2047</t>
  </si>
  <si>
    <t>Boda Castillo</t>
  </si>
  <si>
    <t>C-2048</t>
  </si>
  <si>
    <t>Marca CieloAzul</t>
  </si>
  <si>
    <t>C-2049</t>
  </si>
  <si>
    <t>Marca Patón</t>
  </si>
  <si>
    <t>C-2050</t>
  </si>
  <si>
    <t>Boda Faundez</t>
  </si>
  <si>
    <t>ID_Empleado</t>
  </si>
  <si>
    <t>Rol</t>
  </si>
  <si>
    <t>Horas_Totales</t>
  </si>
  <si>
    <t>E-301</t>
  </si>
  <si>
    <t>Martín Aravena</t>
  </si>
  <si>
    <t>Director Audiovisual</t>
  </si>
  <si>
    <t>E-302</t>
  </si>
  <si>
    <t>Camila Fernández</t>
  </si>
  <si>
    <t>Productora General</t>
  </si>
  <si>
    <t>E-303</t>
  </si>
  <si>
    <t>Diego Valdés</t>
  </si>
  <si>
    <t>Camarógrafo Senior</t>
  </si>
  <si>
    <t>E-304</t>
  </si>
  <si>
    <t>Sofía López</t>
  </si>
  <si>
    <t>Camarógrafa</t>
  </si>
  <si>
    <t>E-305</t>
  </si>
  <si>
    <t>Joaquín Reyes</t>
  </si>
  <si>
    <t>Editor Senior</t>
  </si>
  <si>
    <t>E-306</t>
  </si>
  <si>
    <t>Valentina Soto</t>
  </si>
  <si>
    <t>Editora / Colorista</t>
  </si>
  <si>
    <t>E-307</t>
  </si>
  <si>
    <t>Tomás Bravo</t>
  </si>
  <si>
    <t>Motion Graphics</t>
  </si>
  <si>
    <t>E-308</t>
  </si>
  <si>
    <t>Rocío Carrasco</t>
  </si>
  <si>
    <t>Asistente Producción</t>
  </si>
  <si>
    <t>E-309</t>
  </si>
  <si>
    <t>Felipe Muñoz</t>
  </si>
  <si>
    <t>Sonidista</t>
  </si>
  <si>
    <t>E-310</t>
  </si>
  <si>
    <t>Antonia Vega</t>
  </si>
  <si>
    <t>Community / Storyteller</t>
  </si>
  <si>
    <t>ID_Tiempo</t>
  </si>
  <si>
    <t>Mes</t>
  </si>
  <si>
    <t>Trimestre</t>
  </si>
  <si>
    <t>Año</t>
  </si>
  <si>
    <t>Fecha_Referencia</t>
  </si>
  <si>
    <t>T-01</t>
  </si>
  <si>
    <t>Enero</t>
  </si>
  <si>
    <t>T-02</t>
  </si>
  <si>
    <t>Febrero</t>
  </si>
  <si>
    <t>T-03</t>
  </si>
  <si>
    <t>Marzo</t>
  </si>
  <si>
    <t>T-04</t>
  </si>
  <si>
    <t>Abril</t>
  </si>
  <si>
    <t>T-05</t>
  </si>
  <si>
    <t>Mayo</t>
  </si>
  <si>
    <t>T-06</t>
  </si>
  <si>
    <t>Junio</t>
  </si>
  <si>
    <t>T-07</t>
  </si>
  <si>
    <t>Julio</t>
  </si>
  <si>
    <t>T-08</t>
  </si>
  <si>
    <t>Agosto</t>
  </si>
  <si>
    <t>T-09</t>
  </si>
  <si>
    <t>Septiembre</t>
  </si>
  <si>
    <t>T-10</t>
  </si>
  <si>
    <t>Octubre</t>
  </si>
  <si>
    <t>T-11</t>
  </si>
  <si>
    <t>Noviembre</t>
  </si>
  <si>
    <t>T-12</t>
  </si>
  <si>
    <t>Diciembre</t>
  </si>
  <si>
    <t>ID_Registro</t>
  </si>
  <si>
    <t>Curso</t>
  </si>
  <si>
    <t>Horas</t>
  </si>
  <si>
    <t>CAP-0001</t>
  </si>
  <si>
    <t>Curso DaVinci Resolve Color</t>
  </si>
  <si>
    <t>CAP-0002</t>
  </si>
  <si>
    <t>Marketing Digital</t>
  </si>
  <si>
    <t>CAP-0003</t>
  </si>
  <si>
    <t>Workshop Drone Avanzado</t>
  </si>
  <si>
    <t>CAP-0004</t>
  </si>
  <si>
    <t>CAP-0005</t>
  </si>
  <si>
    <t>Capacitación LED Wall</t>
  </si>
  <si>
    <t>CAP-0006</t>
  </si>
  <si>
    <t>CAP-0007</t>
  </si>
  <si>
    <t>Cinematografía Documental</t>
  </si>
  <si>
    <t>CAP-0008</t>
  </si>
  <si>
    <t>CAP-0009</t>
  </si>
  <si>
    <t>Fotografía Editorial</t>
  </si>
  <si>
    <t>CAP-0010</t>
  </si>
  <si>
    <t>CAP-0011</t>
  </si>
  <si>
    <t>CAP-0012</t>
  </si>
  <si>
    <t>Gestión de Proyectos</t>
  </si>
  <si>
    <t>CAP-0013</t>
  </si>
  <si>
    <t>CAP-0014</t>
  </si>
  <si>
    <t>CAP-0015</t>
  </si>
  <si>
    <t>Storytelling para Marcas</t>
  </si>
  <si>
    <t>CAP-0016</t>
  </si>
  <si>
    <t>CAP-0017</t>
  </si>
  <si>
    <t>CAP-0018</t>
  </si>
  <si>
    <t>CAP-0019</t>
  </si>
  <si>
    <t>CAP-0020</t>
  </si>
  <si>
    <t>CAP-0021</t>
  </si>
  <si>
    <t>Streaming Multi-cámara</t>
  </si>
  <si>
    <t>CAP-0022</t>
  </si>
  <si>
    <t>CAP-0023</t>
  </si>
  <si>
    <t>Curso IA en postproducción</t>
  </si>
  <si>
    <t>CAP-0024</t>
  </si>
  <si>
    <t>CAP-0025</t>
  </si>
  <si>
    <t>CAP-0026</t>
  </si>
  <si>
    <t>CAP-0027</t>
  </si>
  <si>
    <t>Sonido en Set 5.1</t>
  </si>
  <si>
    <t>CAP-0028</t>
  </si>
  <si>
    <t>CAP-0029</t>
  </si>
  <si>
    <t>Animación 2D con After Effects</t>
  </si>
  <si>
    <t>CAP-0030</t>
  </si>
  <si>
    <t>CAP-0031</t>
  </si>
  <si>
    <t>CAP-0032</t>
  </si>
  <si>
    <t>CAP-0033</t>
  </si>
  <si>
    <t>CAP-0034</t>
  </si>
  <si>
    <t>CAP-0035</t>
  </si>
  <si>
    <t>CAP-0036</t>
  </si>
  <si>
    <t>CAP-0037</t>
  </si>
  <si>
    <t>CAP-0038</t>
  </si>
  <si>
    <t>CAP-0039</t>
  </si>
  <si>
    <t>CAP-0040</t>
  </si>
  <si>
    <t>CAP-0041</t>
  </si>
  <si>
    <t>CAP-0042</t>
  </si>
  <si>
    <t>CAP-0043</t>
  </si>
  <si>
    <t>CAP-0044</t>
  </si>
  <si>
    <t>CAP-0045</t>
  </si>
  <si>
    <t>CAP-0046</t>
  </si>
  <si>
    <t>CAP-0047</t>
  </si>
  <si>
    <t>CAP-0048</t>
  </si>
  <si>
    <t>CAP-0049</t>
  </si>
  <si>
    <t>CAP-0050</t>
  </si>
  <si>
    <t>CAP-0051</t>
  </si>
  <si>
    <t>CAP-0052</t>
  </si>
  <si>
    <t>ID_Tecnica</t>
  </si>
  <si>
    <t>Tecnica_Aplicada</t>
  </si>
  <si>
    <t>TEC-01</t>
  </si>
  <si>
    <t>Edición vertical 9:16 nativa</t>
  </si>
  <si>
    <t>TEC-02</t>
  </si>
  <si>
    <t>Iluminación con LED RGB matriz</t>
  </si>
  <si>
    <t>TEC-03</t>
  </si>
  <si>
    <t>Captura volumétrica para Reels</t>
  </si>
  <si>
    <t>TEC-04</t>
  </si>
  <si>
    <t>Animación tipográfica generativa</t>
  </si>
  <si>
    <t>TEC-05</t>
  </si>
  <si>
    <t>Lente anamórfica para corporativo</t>
  </si>
  <si>
    <t>TEC-06</t>
  </si>
  <si>
    <t>Motion tracking 3D</t>
  </si>
  <si>
    <t>TEC-07</t>
  </si>
  <si>
    <t>Toma aérea cinemática con drone FPV</t>
  </si>
  <si>
    <t>TEC-08</t>
  </si>
  <si>
    <t>Color script personalizado</t>
  </si>
  <si>
    <t>ID_Indicador</t>
  </si>
  <si>
    <t>Valor_2025</t>
  </si>
  <si>
    <t>F1.1</t>
  </si>
  <si>
    <t>F1.2</t>
  </si>
  <si>
    <t>F2.1</t>
  </si>
  <si>
    <t>F2.2</t>
  </si>
  <si>
    <t>C1.1</t>
  </si>
  <si>
    <t>C1.2</t>
  </si>
  <si>
    <t>C2.1</t>
  </si>
  <si>
    <t>C2.2</t>
  </si>
  <si>
    <t>C3.1</t>
  </si>
  <si>
    <t>C3.2</t>
  </si>
  <si>
    <t>C4.1</t>
  </si>
  <si>
    <t>C4.2</t>
  </si>
  <si>
    <t>P1.1</t>
  </si>
  <si>
    <t>P1.2</t>
  </si>
  <si>
    <t>P2.1</t>
  </si>
  <si>
    <t>P2.2</t>
  </si>
  <si>
    <t>P3.1</t>
  </si>
  <si>
    <t>P3.2</t>
  </si>
  <si>
    <t>P4.1</t>
  </si>
  <si>
    <t>P4.2</t>
  </si>
  <si>
    <t>A1.1</t>
  </si>
  <si>
    <t>A1.2</t>
  </si>
  <si>
    <t>A2.1</t>
  </si>
  <si>
    <t>A2.2</t>
  </si>
  <si>
    <t>ID_Relacion</t>
  </si>
  <si>
    <t>ID_Proyecto</t>
  </si>
  <si>
    <t>Rol_en_Proyecto</t>
  </si>
  <si>
    <t>EP-001</t>
  </si>
  <si>
    <t>P-1001</t>
  </si>
  <si>
    <t>EP-002</t>
  </si>
  <si>
    <t>EP-003</t>
  </si>
  <si>
    <t>P-1002</t>
  </si>
  <si>
    <t>EP-004</t>
  </si>
  <si>
    <t>EP-005</t>
  </si>
  <si>
    <t>P-1003</t>
  </si>
  <si>
    <t>EP-006</t>
  </si>
  <si>
    <t>EP-007</t>
  </si>
  <si>
    <t>EP-008</t>
  </si>
  <si>
    <t>P-1004</t>
  </si>
  <si>
    <t>EP-009</t>
  </si>
  <si>
    <t>EP-010</t>
  </si>
  <si>
    <t>P-1005</t>
  </si>
  <si>
    <t>EP-011</t>
  </si>
  <si>
    <t>EP-012</t>
  </si>
  <si>
    <t>P-1006</t>
  </si>
  <si>
    <t>EP-013</t>
  </si>
  <si>
    <t>EP-014</t>
  </si>
  <si>
    <t>P-1007</t>
  </si>
  <si>
    <t>EP-015</t>
  </si>
  <si>
    <t>EP-016</t>
  </si>
  <si>
    <t>P-1008</t>
  </si>
  <si>
    <t>EP-017</t>
  </si>
  <si>
    <t>EP-018</t>
  </si>
  <si>
    <t>P-1009</t>
  </si>
  <si>
    <t>EP-019</t>
  </si>
  <si>
    <t>EP-020</t>
  </si>
  <si>
    <t>EP-021</t>
  </si>
  <si>
    <t>P-1010</t>
  </si>
  <si>
    <t>EP-022</t>
  </si>
  <si>
    <t>EP-023</t>
  </si>
  <si>
    <t>P-1011</t>
  </si>
  <si>
    <t>EP-024</t>
  </si>
  <si>
    <t>EP-025</t>
  </si>
  <si>
    <t>P-1012</t>
  </si>
  <si>
    <t>EP-026</t>
  </si>
  <si>
    <t>EP-027</t>
  </si>
  <si>
    <t>P-1013</t>
  </si>
  <si>
    <t>EP-028</t>
  </si>
  <si>
    <t>EP-029</t>
  </si>
  <si>
    <t>P-1014</t>
  </si>
  <si>
    <t>EP-030</t>
  </si>
  <si>
    <t>EP-031</t>
  </si>
  <si>
    <t>P-1015</t>
  </si>
  <si>
    <t>EP-032</t>
  </si>
  <si>
    <t>EP-033</t>
  </si>
  <si>
    <t>P-1016</t>
  </si>
  <si>
    <t>EP-034</t>
  </si>
  <si>
    <t>EP-035</t>
  </si>
  <si>
    <t>P-1017</t>
  </si>
  <si>
    <t>EP-036</t>
  </si>
  <si>
    <t>EP-037</t>
  </si>
  <si>
    <t>EP-038</t>
  </si>
  <si>
    <t>P-1018</t>
  </si>
  <si>
    <t>EP-039</t>
  </si>
  <si>
    <t>EP-040</t>
  </si>
  <si>
    <t>P-1019</t>
  </si>
  <si>
    <t>EP-041</t>
  </si>
  <si>
    <t>EP-042</t>
  </si>
  <si>
    <t>EP-043</t>
  </si>
  <si>
    <t>P-1020</t>
  </si>
  <si>
    <t>EP-044</t>
  </si>
  <si>
    <t>EP-045</t>
  </si>
  <si>
    <t>EP-046</t>
  </si>
  <si>
    <t>P-1021</t>
  </si>
  <si>
    <t>EP-047</t>
  </si>
  <si>
    <t>EP-048</t>
  </si>
  <si>
    <t>P-1022</t>
  </si>
  <si>
    <t>EP-049</t>
  </si>
  <si>
    <t>EP-050</t>
  </si>
  <si>
    <t>P-1023</t>
  </si>
  <si>
    <t>EP-051</t>
  </si>
  <si>
    <t>EP-052</t>
  </si>
  <si>
    <t>EP-053</t>
  </si>
  <si>
    <t>P-1024</t>
  </si>
  <si>
    <t>EP-054</t>
  </si>
  <si>
    <t>EP-055</t>
  </si>
  <si>
    <t>EP-056</t>
  </si>
  <si>
    <t>P-1025</t>
  </si>
  <si>
    <t>EP-057</t>
  </si>
  <si>
    <t>EP-058</t>
  </si>
  <si>
    <t>EP-059</t>
  </si>
  <si>
    <t>P-1026</t>
  </si>
  <si>
    <t>EP-060</t>
  </si>
  <si>
    <t>EP-061</t>
  </si>
  <si>
    <t>P-1027</t>
  </si>
  <si>
    <t>EP-062</t>
  </si>
  <si>
    <t>EP-063</t>
  </si>
  <si>
    <t>P-1028</t>
  </si>
  <si>
    <t>EP-064</t>
  </si>
  <si>
    <t>EP-065</t>
  </si>
  <si>
    <t>EP-066</t>
  </si>
  <si>
    <t>P-1029</t>
  </si>
  <si>
    <t>EP-067</t>
  </si>
  <si>
    <t>EP-068</t>
  </si>
  <si>
    <t>P-1030</t>
  </si>
  <si>
    <t>EP-069</t>
  </si>
  <si>
    <t>EP-070</t>
  </si>
  <si>
    <t>P-1031</t>
  </si>
  <si>
    <t>EP-071</t>
  </si>
  <si>
    <t>EP-072</t>
  </si>
  <si>
    <t>EP-073</t>
  </si>
  <si>
    <t>P-1032</t>
  </si>
  <si>
    <t>EP-074</t>
  </si>
  <si>
    <t>EP-075</t>
  </si>
  <si>
    <t>P-1033</t>
  </si>
  <si>
    <t>EP-076</t>
  </si>
  <si>
    <t>EP-077</t>
  </si>
  <si>
    <t>EP-078</t>
  </si>
  <si>
    <t>P-1034</t>
  </si>
  <si>
    <t>EP-079</t>
  </si>
  <si>
    <t>EP-080</t>
  </si>
  <si>
    <t>EP-081</t>
  </si>
  <si>
    <t>P-1035</t>
  </si>
  <si>
    <t>EP-082</t>
  </si>
  <si>
    <t>EP-083</t>
  </si>
  <si>
    <t>EP-084</t>
  </si>
  <si>
    <t>P-1036</t>
  </si>
  <si>
    <t>EP-085</t>
  </si>
  <si>
    <t>EP-086</t>
  </si>
  <si>
    <t>P-1037</t>
  </si>
  <si>
    <t>EP-087</t>
  </si>
  <si>
    <t>EP-088</t>
  </si>
  <si>
    <t>EP-089</t>
  </si>
  <si>
    <t>P-1038</t>
  </si>
  <si>
    <t>EP-090</t>
  </si>
  <si>
    <t>EP-091</t>
  </si>
  <si>
    <t>P-1039</t>
  </si>
  <si>
    <t>EP-092</t>
  </si>
  <si>
    <t>EP-093</t>
  </si>
  <si>
    <t>EP-094</t>
  </si>
  <si>
    <t>P-1040</t>
  </si>
  <si>
    <t>EP-095</t>
  </si>
  <si>
    <t>ID_Fact_Key</t>
  </si>
  <si>
    <t>ID_Cliente_FK</t>
  </si>
  <si>
    <t>ID_Empleado_FK</t>
  </si>
  <si>
    <t>ID_Tiempo_FK</t>
  </si>
  <si>
    <t>ID_Indicador_Ref_FK</t>
  </si>
  <si>
    <t>Fecha</t>
  </si>
  <si>
    <t>Servicio</t>
  </si>
  <si>
    <t>Nicho</t>
  </si>
  <si>
    <t>Tipo_Nicho</t>
  </si>
  <si>
    <t>Dias_Planificados</t>
  </si>
  <si>
    <t>Dias_Reales</t>
  </si>
  <si>
    <t>Planificacion_Previa</t>
  </si>
  <si>
    <t>Ingresos_CLP</t>
  </si>
  <si>
    <t>Costo_CLP</t>
  </si>
  <si>
    <t>Utilidad_CLP</t>
  </si>
  <si>
    <t>NPS_Proyecto</t>
  </si>
  <si>
    <t>Residuos_Base_Kg</t>
  </si>
  <si>
    <t>Residuos_Reales_Kg</t>
  </si>
  <si>
    <t>Tecnicas_Aplicadas</t>
  </si>
  <si>
    <t>Estado</t>
  </si>
  <si>
    <t>FK-0001</t>
  </si>
  <si>
    <t>Streaming en Vivo</t>
  </si>
  <si>
    <t>Eventos</t>
  </si>
  <si>
    <t>Nuevo</t>
  </si>
  <si>
    <t>-</t>
  </si>
  <si>
    <t>Cerrado</t>
  </si>
  <si>
    <t>FK-0002</t>
  </si>
  <si>
    <t>Boda</t>
  </si>
  <si>
    <t>Bodas</t>
  </si>
  <si>
    <t>Tradicional</t>
  </si>
  <si>
    <t>FK-0003</t>
  </si>
  <si>
    <t>Cobertura Deportiva</t>
  </si>
  <si>
    <t>FK-0004</t>
  </si>
  <si>
    <t>Spot Corporativo</t>
  </si>
  <si>
    <t>Corporativo</t>
  </si>
  <si>
    <t>FK-0005</t>
  </si>
  <si>
    <t>FK-0006</t>
  </si>
  <si>
    <t>FK-0007</t>
  </si>
  <si>
    <t>Documental Gastronómico</t>
  </si>
  <si>
    <t>Redes</t>
  </si>
  <si>
    <t>FK-0008</t>
  </si>
  <si>
    <t>FK-0009</t>
  </si>
  <si>
    <t>FK-0010</t>
  </si>
  <si>
    <t>FK-0011</t>
  </si>
  <si>
    <t>FK-0012</t>
  </si>
  <si>
    <t>Contenido Redes (Reels)</t>
  </si>
  <si>
    <t>FK-0013</t>
  </si>
  <si>
    <t>Evento Empresarial</t>
  </si>
  <si>
    <t>FK-0014</t>
  </si>
  <si>
    <t>FK-0015</t>
  </si>
  <si>
    <t>FK-0016</t>
  </si>
  <si>
    <t>FK-0017</t>
  </si>
  <si>
    <t>FK-0018</t>
  </si>
  <si>
    <t>FK-0019</t>
  </si>
  <si>
    <t>FK-0020</t>
  </si>
  <si>
    <t>FK-0021</t>
  </si>
  <si>
    <t>FK-0022</t>
  </si>
  <si>
    <t>FK-0023</t>
  </si>
  <si>
    <t>FK-0024</t>
  </si>
  <si>
    <t>FK-0025</t>
  </si>
  <si>
    <t>FK-0026</t>
  </si>
  <si>
    <t>FK-0027</t>
  </si>
  <si>
    <t>FK-0028</t>
  </si>
  <si>
    <t>Publicidad TV</t>
  </si>
  <si>
    <t>Publicidad</t>
  </si>
  <si>
    <t>FK-0029</t>
  </si>
  <si>
    <t>FK-0030</t>
  </si>
  <si>
    <t>FK-0031</t>
  </si>
  <si>
    <t>FK-0032</t>
  </si>
  <si>
    <t>FK-0033</t>
  </si>
  <si>
    <t>FK-0034</t>
  </si>
  <si>
    <t>FK-0035</t>
  </si>
  <si>
    <t>FK-0036</t>
  </si>
  <si>
    <t>FK-0037</t>
  </si>
  <si>
    <t>FK-0038</t>
  </si>
  <si>
    <t>FK-0039</t>
  </si>
  <si>
    <t>FK-0040</t>
  </si>
  <si>
    <t>Indicador</t>
  </si>
  <si>
    <t>Perspectiva</t>
  </si>
  <si>
    <t>Objetivo Estrategico</t>
  </si>
  <si>
    <t>Meta</t>
  </si>
  <si>
    <t>Valor</t>
  </si>
  <si>
    <t>Umbral</t>
  </si>
  <si>
    <t>Condicion_Activacion</t>
  </si>
  <si>
    <t>Destinatario</t>
  </si>
  <si>
    <t>Estado_Verificacion</t>
  </si>
  <si>
    <t>Margen de utilidad neta</t>
  </si>
  <si>
    <t>Financiera</t>
  </si>
  <si>
    <t>Maximizar la rentabilidad de proyectos</t>
  </si>
  <si>
    <t>Alerta si Valor &lt; Umbral</t>
  </si>
  <si>
    <t>gerencia@ntmproducciones.cl</t>
  </si>
  <si>
    <t>% proyectos con NPS &gt;= 9</t>
  </si>
  <si>
    <t>Cliente</t>
  </si>
  <si>
    <t>Elevar la satisfaccion del cliente</t>
  </si>
  <si>
    <t>atencioncliente@ntmproducciones.cl</t>
  </si>
  <si>
    <t>% proyectos entregados en plazo</t>
  </si>
  <si>
    <t>Procesos Internos</t>
  </si>
  <si>
    <t>Optimizar la eficiencia operativa</t>
  </si>
  <si>
    <t>produccion@ntmproducciones.cl</t>
  </si>
  <si>
    <t>% colaboradores con &gt;=40h capacitacion</t>
  </si>
  <si>
    <t>Aprendizaje y Crecimiento</t>
  </si>
  <si>
    <t>Desarrollar competencias tecnicas</t>
  </si>
  <si>
    <t>rrhh@ntmproducciones.cl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</si>
</sst>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%"/>
  </numFmts>
  <fonts count="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D9E1F2"/>
        <bgColor rgb="FFCCCCCC"/>
      </patternFill>
    </fill>
    <fill>
      <patternFill patternType="solid">
        <fgColor rgb="FF1F4E78"/>
        <bgColor rgb="FF1F3864"/>
      </patternFill>
    </fill>
  </fills>
  <borders count="11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164" fontId="3" fillId="0" borderId="6" xfId="0" applyNumberFormat="1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left" vertical="center"/>
    </xf>
    <xf numFmtId="164" fontId="3" fillId="3" borderId="5" xfId="0" applyNumberFormat="1" applyFont="1" applyFill="1" applyBorder="1" applyAlignment="1">
      <alignment horizontal="left" vertical="center"/>
    </xf>
    <xf numFmtId="164" fontId="3" fillId="0" borderId="5" xfId="0" applyNumberFormat="1" applyFont="1" applyBorder="1" applyAlignment="1">
      <alignment horizontal="left" vertical="center"/>
    </xf>
    <xf numFmtId="164" fontId="3" fillId="0" borderId="8" xfId="0" applyNumberFormat="1" applyFont="1" applyBorder="1" applyAlignment="1">
      <alignment horizontal="left" vertical="center"/>
    </xf>
    <xf numFmtId="0" fontId="5" fillId="0" borderId="0" xfId="0" applyFont="1"/>
    <xf numFmtId="0" fontId="6" fillId="4" borderId="10" xfId="0" applyFont="1" applyFill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  <border outline="0">
        <left style="thin">
          <color rgb="FFB7B7B7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  <border outline="0">
        <left style="thin">
          <color rgb="FFB7B7B7"/>
        </left>
        <right style="thin">
          <color rgb="FFB7B7B7"/>
        </righ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outline="0">
        <left style="thin">
          <color rgb="FFB7B7B7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outline="0">
        <left style="thin">
          <color rgb="FFB7B7B7"/>
        </left>
        <right style="thin">
          <color rgb="FFB7B7B7"/>
        </righ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outline="0">
        <left style="thin">
          <color rgb="FFB7B7B7"/>
        </left>
        <right style="thin">
          <color rgb="FFB7B7B7"/>
        </righ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  <border outline="0">
        <left style="thin">
          <color rgb="FFB7B7B7"/>
        </left>
        <right style="thin">
          <color rgb="FFB7B7B7"/>
        </righ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  <border outline="0">
        <left style="thin">
          <color rgb="FFB7B7B7"/>
        </left>
        <right style="thin">
          <color rgb="FFB7B7B7"/>
        </righ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  <border outline="0">
        <right style="thin">
          <color rgb="FFB7B7B7"/>
        </righ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1" displayName="Tabla1" ref="A1:F51" totalsRowShown="0">
  <autoFilter ref="A1:F51" xr:uid="{00000000-0009-0000-0100-000002000000}"/>
  <tableColumns count="6">
    <tableColumn id="1" xr3:uid="{00000000-0010-0000-0000-000001000000}" name="ID_Cliente"/>
    <tableColumn id="2" xr3:uid="{00000000-0010-0000-0000-000002000000}" name="Nombre"/>
    <tableColumn id="3" xr3:uid="{00000000-0010-0000-0000-000003000000}" name="NPS"/>
    <tableColumn id="4" xr3:uid="{00000000-0010-0000-0000-000004000000}" name="Cliente_2025"/>
    <tableColumn id="5" xr3:uid="{00000000-0010-0000-0000-000005000000}" name="Activo_2026"/>
    <tableColumn id="6" xr3:uid="{00000000-0010-0000-0000-000006000000}" name="Retenido" totalsRowFunction="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9" displayName="Tabla9" ref="A1:D11" totalsRowShown="0">
  <autoFilter ref="A1:D11" xr:uid="{00000000-0009-0000-0100-000009000000}"/>
  <tableColumns count="4">
    <tableColumn id="1" xr3:uid="{00000000-0010-0000-0100-000001000000}" name="ID_Empleado"/>
    <tableColumn id="2" xr3:uid="{00000000-0010-0000-0100-000002000000}" name="Nombre"/>
    <tableColumn id="3" xr3:uid="{00000000-0010-0000-0100-000003000000}" name="Rol"/>
    <tableColumn id="4" xr3:uid="{00000000-0010-0000-0100-000004000000}" name="Horas_Total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3" displayName="Tabla3" ref="A1:E13" totalsRowShown="0">
  <autoFilter ref="A1:E13" xr:uid="{00000000-0009-0000-0100-000005000000}"/>
  <tableColumns count="5">
    <tableColumn id="1" xr3:uid="{00000000-0010-0000-0200-000001000000}" name="ID_Tiempo"/>
    <tableColumn id="2" xr3:uid="{00000000-0010-0000-0200-000002000000}" name="Mes"/>
    <tableColumn id="3" xr3:uid="{00000000-0010-0000-0200-000003000000}" name="Trimestre"/>
    <tableColumn id="4" xr3:uid="{00000000-0010-0000-0200-000004000000}" name="Año"/>
    <tableColumn id="5" xr3:uid="{00000000-0010-0000-0200-000005000000}" name="Fecha_Referenci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4" displayName="Tabla4" ref="A1:E53" totalsRowShown="0">
  <autoFilter ref="A1:E53" xr:uid="{00000000-0009-0000-0100-000006000000}"/>
  <tableColumns count="5">
    <tableColumn id="1" xr3:uid="{00000000-0010-0000-0300-000001000000}" name="ID_Registro"/>
    <tableColumn id="2" xr3:uid="{00000000-0010-0000-0300-000002000000}" name="ID_Empleado"/>
    <tableColumn id="3" xr3:uid="{00000000-0010-0000-0300-000003000000}" name="Curso"/>
    <tableColumn id="4" xr3:uid="{00000000-0010-0000-0300-000004000000}" name="Trimestre"/>
    <tableColumn id="5" xr3:uid="{00000000-0010-0000-0300-000005000000}" name="Hora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a11" displayName="Tabla11" ref="A1:B9" totalsRowShown="0">
  <autoFilter ref="A1:B9" xr:uid="{00000000-0009-0000-0100-000003000000}"/>
  <tableColumns count="2">
    <tableColumn id="1" xr3:uid="{00000000-0010-0000-0400-000001000000}" name="ID_Tecnica"/>
    <tableColumn id="2" xr3:uid="{00000000-0010-0000-0400-000002000000}" name="Tecnica_Aplicad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a6" displayName="Tabla6" ref="A1:B25" totalsRowShown="0">
  <autoFilter ref="A1:B25" xr:uid="{00000000-0009-0000-0100-000007000000}"/>
  <tableColumns count="2">
    <tableColumn id="1" xr3:uid="{00000000-0010-0000-0500-000001000000}" name="ID_Indicador"/>
    <tableColumn id="2" xr3:uid="{00000000-0010-0000-0500-000002000000}" name="Valor_202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a12" displayName="Tabla12" ref="A1:D96" totalsRowShown="0">
  <autoFilter ref="A1:D96" xr:uid="{00000000-0009-0000-0100-000004000000}"/>
  <tableColumns count="4">
    <tableColumn id="1" xr3:uid="{00000000-0010-0000-0600-000001000000}" name="ID_Relacion"/>
    <tableColumn id="2" xr3:uid="{00000000-0010-0000-0600-000002000000}" name="ID_Proyecto"/>
    <tableColumn id="3" xr3:uid="{00000000-0010-0000-0600-000003000000}" name="ID_Empleado"/>
    <tableColumn id="4" xr3:uid="{00000000-0010-0000-0600-000004000000}" name="Rol_en_Proyecto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8" displayName="Tabla8" ref="A1:V41" totalsRowShown="0">
  <autoFilter ref="A1:V41" xr:uid="{00000000-0009-0000-0100-000008000000}"/>
  <tableColumns count="22">
    <tableColumn id="1" xr3:uid="{00000000-0010-0000-0700-000001000000}" name="ID_Fact_Key"/>
    <tableColumn id="2" xr3:uid="{00000000-0010-0000-0700-000002000000}" name="ID_Cliente_FK"/>
    <tableColumn id="3" xr3:uid="{00000000-0010-0000-0700-000003000000}" name="ID_Empleado_FK"/>
    <tableColumn id="4" xr3:uid="{00000000-0010-0000-0700-000004000000}" name="ID_Tiempo_FK"/>
    <tableColumn id="5" xr3:uid="{00000000-0010-0000-0700-000005000000}" name="ID_Indicador_Ref_FK"/>
    <tableColumn id="6" xr3:uid="{00000000-0010-0000-0700-000006000000}" name="ID_Proyecto"/>
    <tableColumn id="7" xr3:uid="{00000000-0010-0000-0700-000007000000}" name="Fecha"/>
    <tableColumn id="8" xr3:uid="{00000000-0010-0000-0700-000008000000}" name="Trimestre"/>
    <tableColumn id="9" xr3:uid="{00000000-0010-0000-0700-000009000000}" name="Servicio"/>
    <tableColumn id="10" xr3:uid="{00000000-0010-0000-0700-00000A000000}" name="Nicho"/>
    <tableColumn id="11" xr3:uid="{00000000-0010-0000-0700-00000B000000}" name="Tipo_Nicho"/>
    <tableColumn id="12" xr3:uid="{00000000-0010-0000-0700-00000C000000}" name="Dias_Planificados"/>
    <tableColumn id="13" xr3:uid="{00000000-0010-0000-0700-00000D000000}" name="Dias_Reales"/>
    <tableColumn id="14" xr3:uid="{00000000-0010-0000-0700-00000E000000}" name="Planificacion_Previa"/>
    <tableColumn id="15" xr3:uid="{00000000-0010-0000-0700-00000F000000}" name="Ingresos_CLP"/>
    <tableColumn id="16" xr3:uid="{00000000-0010-0000-0700-000010000000}" name="Costo_CLP"/>
    <tableColumn id="17" xr3:uid="{00000000-0010-0000-0700-000011000000}" name="Utilidad_CLP"/>
    <tableColumn id="18" xr3:uid="{00000000-0010-0000-0700-000012000000}" name="NPS_Proyecto"/>
    <tableColumn id="19" xr3:uid="{00000000-0010-0000-0700-000013000000}" name="Residuos_Base_Kg"/>
    <tableColumn id="20" xr3:uid="{00000000-0010-0000-0700-000014000000}" name="Residuos_Reales_Kg"/>
    <tableColumn id="21" xr3:uid="{00000000-0010-0000-0700-000015000000}" name="Tecnicas_Aplicadas"/>
    <tableColumn id="22" xr3:uid="{00000000-0010-0000-0700-000016000000}" name="Estado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8000000}" name="Resumen_CMI" displayName="Resumen_CMI" ref="A1:I5" totalsRowShown="0" headerRowDxfId="10" dataDxfId="9">
  <autoFilter ref="A1:I5" xr:uid="{00000000-0009-0000-0100-000001000000}"/>
  <tableColumns count="9">
    <tableColumn id="1" xr3:uid="{00000000-0010-0000-0800-000001000000}" name="Indicador" dataDxfId="8"/>
    <tableColumn id="2" xr3:uid="{00000000-0010-0000-0800-000002000000}" name="Perspectiva" dataDxfId="7"/>
    <tableColumn id="3" xr3:uid="{00000000-0010-0000-0800-000003000000}" name="Objetivo Estrategico" dataDxfId="6"/>
    <tableColumn id="4" xr3:uid="{00000000-0010-0000-0800-000004000000}" name="Meta" dataDxfId="5"/>
    <tableColumn id="5" xr3:uid="{00000000-0010-0000-0800-000005000000}" name="Valor" dataDxfId="4"/>
    <tableColumn id="6" xr3:uid="{00000000-0010-0000-0800-000006000000}" name="Umbral" dataDxfId="3"/>
    <tableColumn id="7" xr3:uid="{00000000-0010-0000-0800-000007000000}" name="Condicion_Activacion" dataDxfId="2"/>
    <tableColumn id="8" xr3:uid="{00000000-0010-0000-0800-000008000000}" name="Destinatario" dataDxfId="0"/>
    <tableColumn id="9" xr3:uid="{00000000-0010-0000-0800-000009000000}" name="Estado_Verificac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zoomScaleNormal="100" workbookViewId="0">
      <pane ySplit="1" topLeftCell="A28" activePane="bottomLeft" state="frozen"/>
      <selection pane="bottomLeft" activeCell="B1" sqref="B1"/>
    </sheetView>
  </sheetViews>
  <sheetFormatPr baseColWidth="10" defaultColWidth="8.88671875" defaultRowHeight="14.4" x14ac:dyDescent="0.3"/>
  <cols>
    <col min="1" max="1" width="11.6640625" customWidth="1"/>
    <col min="2" max="2" width="22" customWidth="1"/>
    <col min="3" max="3" width="8" customWidth="1"/>
    <col min="4" max="5" width="14" customWidth="1"/>
    <col min="6" max="6" width="12" customWidth="1"/>
  </cols>
  <sheetData>
    <row r="1" spans="1:6" ht="21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 t="s">
        <v>6</v>
      </c>
      <c r="B2" s="5" t="s">
        <v>7</v>
      </c>
      <c r="C2" s="5">
        <v>10</v>
      </c>
      <c r="D2" s="5" t="s">
        <v>8</v>
      </c>
      <c r="E2" s="5" t="s">
        <v>9</v>
      </c>
      <c r="F2" s="6" t="s">
        <v>10</v>
      </c>
    </row>
    <row r="3" spans="1:6" x14ac:dyDescent="0.3">
      <c r="A3" s="7" t="s">
        <v>11</v>
      </c>
      <c r="B3" s="8" t="s">
        <v>12</v>
      </c>
      <c r="C3" s="8">
        <v>8</v>
      </c>
      <c r="D3" s="8" t="s">
        <v>9</v>
      </c>
      <c r="E3" s="8" t="s">
        <v>9</v>
      </c>
      <c r="F3" s="9" t="s">
        <v>9</v>
      </c>
    </row>
    <row r="4" spans="1:6" x14ac:dyDescent="0.3">
      <c r="A4" s="4" t="s">
        <v>13</v>
      </c>
      <c r="B4" s="5" t="s">
        <v>14</v>
      </c>
      <c r="C4" s="5">
        <v>10</v>
      </c>
      <c r="D4" s="5" t="s">
        <v>8</v>
      </c>
      <c r="E4" s="5" t="s">
        <v>9</v>
      </c>
      <c r="F4" s="6" t="s">
        <v>10</v>
      </c>
    </row>
    <row r="5" spans="1:6" x14ac:dyDescent="0.3">
      <c r="A5" s="7" t="s">
        <v>15</v>
      </c>
      <c r="B5" s="8" t="s">
        <v>16</v>
      </c>
      <c r="C5" s="8">
        <v>10</v>
      </c>
      <c r="D5" s="8" t="s">
        <v>8</v>
      </c>
      <c r="E5" s="8" t="s">
        <v>9</v>
      </c>
      <c r="F5" s="9" t="s">
        <v>10</v>
      </c>
    </row>
    <row r="6" spans="1:6" x14ac:dyDescent="0.3">
      <c r="A6" s="4" t="s">
        <v>17</v>
      </c>
      <c r="B6" s="5" t="s">
        <v>18</v>
      </c>
      <c r="C6" s="5">
        <v>9</v>
      </c>
      <c r="D6" s="5" t="s">
        <v>8</v>
      </c>
      <c r="E6" s="5" t="s">
        <v>8</v>
      </c>
      <c r="F6" s="6" t="s">
        <v>10</v>
      </c>
    </row>
    <row r="7" spans="1:6" x14ac:dyDescent="0.3">
      <c r="A7" s="7" t="s">
        <v>19</v>
      </c>
      <c r="B7" s="8" t="s">
        <v>20</v>
      </c>
      <c r="C7" s="8">
        <v>10</v>
      </c>
      <c r="D7" s="8" t="s">
        <v>8</v>
      </c>
      <c r="E7" s="8" t="s">
        <v>8</v>
      </c>
      <c r="F7" s="9" t="s">
        <v>10</v>
      </c>
    </row>
    <row r="8" spans="1:6" x14ac:dyDescent="0.3">
      <c r="A8" s="4" t="s">
        <v>21</v>
      </c>
      <c r="B8" s="5" t="s">
        <v>22</v>
      </c>
      <c r="C8" s="5">
        <v>10</v>
      </c>
      <c r="D8" s="5" t="s">
        <v>8</v>
      </c>
      <c r="E8" s="5" t="s">
        <v>9</v>
      </c>
      <c r="F8" s="6" t="s">
        <v>10</v>
      </c>
    </row>
    <row r="9" spans="1:6" x14ac:dyDescent="0.3">
      <c r="A9" s="7" t="s">
        <v>23</v>
      </c>
      <c r="B9" s="8" t="s">
        <v>24</v>
      </c>
      <c r="C9" s="8">
        <v>9</v>
      </c>
      <c r="D9" s="8" t="s">
        <v>8</v>
      </c>
      <c r="E9" s="8" t="s">
        <v>9</v>
      </c>
      <c r="F9" s="9" t="s">
        <v>10</v>
      </c>
    </row>
    <row r="10" spans="1:6" x14ac:dyDescent="0.3">
      <c r="A10" s="4" t="s">
        <v>25</v>
      </c>
      <c r="B10" s="5" t="s">
        <v>26</v>
      </c>
      <c r="C10" s="5">
        <v>9</v>
      </c>
      <c r="D10" s="5" t="s">
        <v>9</v>
      </c>
      <c r="E10" s="5" t="s">
        <v>9</v>
      </c>
      <c r="F10" s="6" t="s">
        <v>9</v>
      </c>
    </row>
    <row r="11" spans="1:6" x14ac:dyDescent="0.3">
      <c r="A11" s="7" t="s">
        <v>27</v>
      </c>
      <c r="B11" s="8" t="s">
        <v>28</v>
      </c>
      <c r="C11" s="8">
        <v>10</v>
      </c>
      <c r="D11" s="8" t="s">
        <v>9</v>
      </c>
      <c r="E11" s="8" t="s">
        <v>9</v>
      </c>
      <c r="F11" s="9" t="s">
        <v>9</v>
      </c>
    </row>
    <row r="12" spans="1:6" x14ac:dyDescent="0.3">
      <c r="A12" s="4" t="s">
        <v>29</v>
      </c>
      <c r="B12" s="5" t="s">
        <v>30</v>
      </c>
      <c r="C12" s="5">
        <v>10</v>
      </c>
      <c r="D12" s="5" t="s">
        <v>8</v>
      </c>
      <c r="E12" s="5" t="s">
        <v>9</v>
      </c>
      <c r="F12" s="6" t="s">
        <v>10</v>
      </c>
    </row>
    <row r="13" spans="1:6" x14ac:dyDescent="0.3">
      <c r="A13" s="7" t="s">
        <v>31</v>
      </c>
      <c r="B13" s="8" t="s">
        <v>32</v>
      </c>
      <c r="C13" s="8">
        <v>5</v>
      </c>
      <c r="D13" s="8" t="s">
        <v>8</v>
      </c>
      <c r="E13" s="8" t="s">
        <v>8</v>
      </c>
      <c r="F13" s="9" t="s">
        <v>10</v>
      </c>
    </row>
    <row r="14" spans="1:6" x14ac:dyDescent="0.3">
      <c r="A14" s="4" t="s">
        <v>33</v>
      </c>
      <c r="B14" s="5" t="s">
        <v>34</v>
      </c>
      <c r="C14" s="5">
        <v>8</v>
      </c>
      <c r="D14" s="5" t="s">
        <v>8</v>
      </c>
      <c r="E14" s="5" t="s">
        <v>8</v>
      </c>
      <c r="F14" s="6" t="s">
        <v>10</v>
      </c>
    </row>
    <row r="15" spans="1:6" x14ac:dyDescent="0.3">
      <c r="A15" s="7" t="s">
        <v>35</v>
      </c>
      <c r="B15" s="8" t="s">
        <v>36</v>
      </c>
      <c r="C15" s="8">
        <v>9</v>
      </c>
      <c r="D15" s="8" t="s">
        <v>9</v>
      </c>
      <c r="E15" s="8" t="s">
        <v>8</v>
      </c>
      <c r="F15" s="9" t="s">
        <v>8</v>
      </c>
    </row>
    <row r="16" spans="1:6" x14ac:dyDescent="0.3">
      <c r="A16" s="4" t="s">
        <v>37</v>
      </c>
      <c r="B16" s="5" t="s">
        <v>38</v>
      </c>
      <c r="C16" s="5">
        <v>10</v>
      </c>
      <c r="D16" s="5" t="s">
        <v>8</v>
      </c>
      <c r="E16" s="5" t="s">
        <v>9</v>
      </c>
      <c r="F16" s="6" t="s">
        <v>10</v>
      </c>
    </row>
    <row r="17" spans="1:6" x14ac:dyDescent="0.3">
      <c r="A17" s="7" t="s">
        <v>39</v>
      </c>
      <c r="B17" s="8" t="s">
        <v>40</v>
      </c>
      <c r="C17" s="8">
        <v>10</v>
      </c>
      <c r="D17" s="8" t="s">
        <v>9</v>
      </c>
      <c r="E17" s="8" t="s">
        <v>9</v>
      </c>
      <c r="F17" s="9" t="s">
        <v>9</v>
      </c>
    </row>
    <row r="18" spans="1:6" x14ac:dyDescent="0.3">
      <c r="A18" s="4" t="s">
        <v>41</v>
      </c>
      <c r="B18" s="5" t="s">
        <v>42</v>
      </c>
      <c r="C18" s="5">
        <v>10</v>
      </c>
      <c r="D18" s="5" t="s">
        <v>9</v>
      </c>
      <c r="E18" s="5" t="s">
        <v>9</v>
      </c>
      <c r="F18" s="6" t="s">
        <v>9</v>
      </c>
    </row>
    <row r="19" spans="1:6" x14ac:dyDescent="0.3">
      <c r="A19" s="7" t="s">
        <v>43</v>
      </c>
      <c r="B19" s="8" t="s">
        <v>44</v>
      </c>
      <c r="C19" s="8">
        <v>9</v>
      </c>
      <c r="D19" s="8" t="s">
        <v>9</v>
      </c>
      <c r="E19" s="8" t="s">
        <v>9</v>
      </c>
      <c r="F19" s="9" t="s">
        <v>9</v>
      </c>
    </row>
    <row r="20" spans="1:6" x14ac:dyDescent="0.3">
      <c r="A20" s="4" t="s">
        <v>45</v>
      </c>
      <c r="B20" s="5" t="s">
        <v>46</v>
      </c>
      <c r="C20" s="5">
        <v>10</v>
      </c>
      <c r="D20" s="5" t="s">
        <v>8</v>
      </c>
      <c r="E20" s="5" t="s">
        <v>8</v>
      </c>
      <c r="F20" s="6" t="s">
        <v>10</v>
      </c>
    </row>
    <row r="21" spans="1:6" x14ac:dyDescent="0.3">
      <c r="A21" s="7" t="s">
        <v>47</v>
      </c>
      <c r="B21" s="8" t="s">
        <v>48</v>
      </c>
      <c r="C21" s="8">
        <v>10</v>
      </c>
      <c r="D21" s="8" t="s">
        <v>9</v>
      </c>
      <c r="E21" s="8" t="s">
        <v>9</v>
      </c>
      <c r="F21" s="9" t="s">
        <v>9</v>
      </c>
    </row>
    <row r="22" spans="1:6" x14ac:dyDescent="0.3">
      <c r="A22" s="4" t="s">
        <v>49</v>
      </c>
      <c r="B22" s="5" t="s">
        <v>50</v>
      </c>
      <c r="C22" s="5">
        <v>9</v>
      </c>
      <c r="D22" s="5" t="s">
        <v>9</v>
      </c>
      <c r="E22" s="5" t="s">
        <v>9</v>
      </c>
      <c r="F22" s="6" t="s">
        <v>9</v>
      </c>
    </row>
    <row r="23" spans="1:6" x14ac:dyDescent="0.3">
      <c r="A23" s="7" t="s">
        <v>51</v>
      </c>
      <c r="B23" s="8" t="s">
        <v>52</v>
      </c>
      <c r="C23" s="8">
        <v>8</v>
      </c>
      <c r="D23" s="8" t="s">
        <v>9</v>
      </c>
      <c r="E23" s="8" t="s">
        <v>9</v>
      </c>
      <c r="F23" s="9" t="s">
        <v>9</v>
      </c>
    </row>
    <row r="24" spans="1:6" x14ac:dyDescent="0.3">
      <c r="A24" s="4" t="s">
        <v>53</v>
      </c>
      <c r="B24" s="5" t="s">
        <v>54</v>
      </c>
      <c r="C24" s="5">
        <v>7</v>
      </c>
      <c r="D24" s="5" t="s">
        <v>9</v>
      </c>
      <c r="E24" s="5" t="s">
        <v>9</v>
      </c>
      <c r="F24" s="6" t="s">
        <v>9</v>
      </c>
    </row>
    <row r="25" spans="1:6" x14ac:dyDescent="0.3">
      <c r="A25" s="7" t="s">
        <v>55</v>
      </c>
      <c r="B25" s="8" t="s">
        <v>56</v>
      </c>
      <c r="C25" s="8">
        <v>9</v>
      </c>
      <c r="D25" s="8" t="s">
        <v>9</v>
      </c>
      <c r="E25" s="8" t="s">
        <v>9</v>
      </c>
      <c r="F25" s="9" t="s">
        <v>8</v>
      </c>
    </row>
    <row r="26" spans="1:6" x14ac:dyDescent="0.3">
      <c r="A26" s="4" t="s">
        <v>57</v>
      </c>
      <c r="B26" s="5" t="s">
        <v>58</v>
      </c>
      <c r="C26" s="5">
        <v>9</v>
      </c>
      <c r="D26" s="5" t="s">
        <v>9</v>
      </c>
      <c r="E26" s="5" t="s">
        <v>9</v>
      </c>
      <c r="F26" s="6" t="s">
        <v>9</v>
      </c>
    </row>
    <row r="27" spans="1:6" x14ac:dyDescent="0.3">
      <c r="A27" s="7" t="s">
        <v>59</v>
      </c>
      <c r="B27" s="8" t="s">
        <v>60</v>
      </c>
      <c r="C27" s="8">
        <v>9</v>
      </c>
      <c r="D27" s="8" t="s">
        <v>8</v>
      </c>
      <c r="E27" s="8" t="s">
        <v>9</v>
      </c>
      <c r="F27" s="9" t="s">
        <v>10</v>
      </c>
    </row>
    <row r="28" spans="1:6" x14ac:dyDescent="0.3">
      <c r="A28" s="4" t="s">
        <v>61</v>
      </c>
      <c r="B28" s="5" t="s">
        <v>62</v>
      </c>
      <c r="C28" s="5">
        <v>10</v>
      </c>
      <c r="D28" s="5" t="s">
        <v>9</v>
      </c>
      <c r="E28" s="5" t="s">
        <v>9</v>
      </c>
      <c r="F28" s="6" t="s">
        <v>9</v>
      </c>
    </row>
    <row r="29" spans="1:6" x14ac:dyDescent="0.3">
      <c r="A29" s="7" t="s">
        <v>63</v>
      </c>
      <c r="B29" s="8" t="s">
        <v>64</v>
      </c>
      <c r="C29" s="8">
        <v>5</v>
      </c>
      <c r="D29" s="8" t="s">
        <v>9</v>
      </c>
      <c r="E29" s="8" t="s">
        <v>9</v>
      </c>
      <c r="F29" s="9" t="s">
        <v>8</v>
      </c>
    </row>
    <row r="30" spans="1:6" x14ac:dyDescent="0.3">
      <c r="A30" s="4" t="s">
        <v>65</v>
      </c>
      <c r="B30" s="5" t="s">
        <v>66</v>
      </c>
      <c r="C30" s="5">
        <v>10</v>
      </c>
      <c r="D30" s="5" t="s">
        <v>8</v>
      </c>
      <c r="E30" s="5" t="s">
        <v>8</v>
      </c>
      <c r="F30" s="6" t="s">
        <v>10</v>
      </c>
    </row>
    <row r="31" spans="1:6" x14ac:dyDescent="0.3">
      <c r="A31" s="7" t="s">
        <v>67</v>
      </c>
      <c r="B31" s="8" t="s">
        <v>68</v>
      </c>
      <c r="C31" s="8">
        <v>5</v>
      </c>
      <c r="D31" s="8" t="s">
        <v>9</v>
      </c>
      <c r="E31" s="8" t="s">
        <v>9</v>
      </c>
      <c r="F31" s="9" t="s">
        <v>9</v>
      </c>
    </row>
    <row r="32" spans="1:6" x14ac:dyDescent="0.3">
      <c r="A32" s="4" t="s">
        <v>69</v>
      </c>
      <c r="B32" s="5" t="s">
        <v>70</v>
      </c>
      <c r="C32" s="5">
        <v>8</v>
      </c>
      <c r="D32" s="5" t="s">
        <v>8</v>
      </c>
      <c r="E32" s="5" t="s">
        <v>9</v>
      </c>
      <c r="F32" s="6" t="s">
        <v>10</v>
      </c>
    </row>
    <row r="33" spans="1:6" x14ac:dyDescent="0.3">
      <c r="A33" s="7" t="s">
        <v>71</v>
      </c>
      <c r="B33" s="8" t="s">
        <v>72</v>
      </c>
      <c r="C33" s="8">
        <v>10</v>
      </c>
      <c r="D33" s="8" t="s">
        <v>8</v>
      </c>
      <c r="E33" s="8" t="s">
        <v>9</v>
      </c>
      <c r="F33" s="9" t="s">
        <v>10</v>
      </c>
    </row>
    <row r="34" spans="1:6" x14ac:dyDescent="0.3">
      <c r="A34" s="4" t="s">
        <v>73</v>
      </c>
      <c r="B34" s="5" t="s">
        <v>74</v>
      </c>
      <c r="C34" s="5">
        <v>10</v>
      </c>
      <c r="D34" s="5" t="s">
        <v>9</v>
      </c>
      <c r="E34" s="5" t="s">
        <v>9</v>
      </c>
      <c r="F34" s="6" t="s">
        <v>9</v>
      </c>
    </row>
    <row r="35" spans="1:6" x14ac:dyDescent="0.3">
      <c r="A35" s="7" t="s">
        <v>75</v>
      </c>
      <c r="B35" s="8" t="s">
        <v>76</v>
      </c>
      <c r="C35" s="8">
        <v>10</v>
      </c>
      <c r="D35" s="8" t="s">
        <v>9</v>
      </c>
      <c r="E35" s="8" t="s">
        <v>9</v>
      </c>
      <c r="F35" s="9" t="s">
        <v>9</v>
      </c>
    </row>
    <row r="36" spans="1:6" x14ac:dyDescent="0.3">
      <c r="A36" s="4" t="s">
        <v>77</v>
      </c>
      <c r="B36" s="5" t="s">
        <v>78</v>
      </c>
      <c r="C36" s="5">
        <v>5</v>
      </c>
      <c r="D36" s="5" t="s">
        <v>8</v>
      </c>
      <c r="E36" s="5" t="s">
        <v>8</v>
      </c>
      <c r="F36" s="6" t="s">
        <v>10</v>
      </c>
    </row>
    <row r="37" spans="1:6" x14ac:dyDescent="0.3">
      <c r="A37" s="7" t="s">
        <v>79</v>
      </c>
      <c r="B37" s="8" t="s">
        <v>80</v>
      </c>
      <c r="C37" s="8">
        <v>8</v>
      </c>
      <c r="D37" s="8" t="s">
        <v>9</v>
      </c>
      <c r="E37" s="8" t="s">
        <v>9</v>
      </c>
      <c r="F37" s="9" t="s">
        <v>9</v>
      </c>
    </row>
    <row r="38" spans="1:6" x14ac:dyDescent="0.3">
      <c r="A38" s="4" t="s">
        <v>81</v>
      </c>
      <c r="B38" s="5" t="s">
        <v>82</v>
      </c>
      <c r="C38" s="5">
        <v>8</v>
      </c>
      <c r="D38" s="5" t="s">
        <v>9</v>
      </c>
      <c r="E38" s="5" t="s">
        <v>9</v>
      </c>
      <c r="F38" s="6" t="s">
        <v>9</v>
      </c>
    </row>
    <row r="39" spans="1:6" x14ac:dyDescent="0.3">
      <c r="A39" s="7" t="s">
        <v>83</v>
      </c>
      <c r="B39" s="8" t="s">
        <v>84</v>
      </c>
      <c r="C39" s="8">
        <v>9</v>
      </c>
      <c r="D39" s="8" t="s">
        <v>8</v>
      </c>
      <c r="E39" s="8" t="s">
        <v>9</v>
      </c>
      <c r="F39" s="9" t="s">
        <v>10</v>
      </c>
    </row>
    <row r="40" spans="1:6" x14ac:dyDescent="0.3">
      <c r="A40" s="4" t="s">
        <v>85</v>
      </c>
      <c r="B40" s="5" t="s">
        <v>86</v>
      </c>
      <c r="C40" s="5">
        <v>9</v>
      </c>
      <c r="D40" s="5" t="s">
        <v>8</v>
      </c>
      <c r="E40" s="5" t="s">
        <v>8</v>
      </c>
      <c r="F40" s="6" t="s">
        <v>10</v>
      </c>
    </row>
    <row r="41" spans="1:6" x14ac:dyDescent="0.3">
      <c r="A41" s="7" t="s">
        <v>87</v>
      </c>
      <c r="B41" s="8" t="s">
        <v>88</v>
      </c>
      <c r="C41" s="8">
        <v>9</v>
      </c>
      <c r="D41" s="8" t="s">
        <v>9</v>
      </c>
      <c r="E41" s="8" t="s">
        <v>8</v>
      </c>
      <c r="F41" s="9" t="s">
        <v>8</v>
      </c>
    </row>
    <row r="42" spans="1:6" x14ac:dyDescent="0.3">
      <c r="A42" s="4" t="s">
        <v>89</v>
      </c>
      <c r="B42" s="5" t="s">
        <v>90</v>
      </c>
      <c r="C42" s="5">
        <v>10</v>
      </c>
      <c r="D42" s="5" t="s">
        <v>9</v>
      </c>
      <c r="E42" s="5" t="s">
        <v>9</v>
      </c>
      <c r="F42" s="6" t="s">
        <v>9</v>
      </c>
    </row>
    <row r="43" spans="1:6" x14ac:dyDescent="0.3">
      <c r="A43" s="7" t="s">
        <v>91</v>
      </c>
      <c r="B43" s="8" t="s">
        <v>92</v>
      </c>
      <c r="C43" s="8">
        <v>10</v>
      </c>
      <c r="D43" s="8" t="s">
        <v>8</v>
      </c>
      <c r="E43" s="8" t="s">
        <v>9</v>
      </c>
      <c r="F43" s="9" t="s">
        <v>10</v>
      </c>
    </row>
    <row r="44" spans="1:6" x14ac:dyDescent="0.3">
      <c r="A44" s="4" t="s">
        <v>93</v>
      </c>
      <c r="B44" s="5" t="s">
        <v>94</v>
      </c>
      <c r="C44" s="5">
        <v>8</v>
      </c>
      <c r="D44" s="5" t="s">
        <v>9</v>
      </c>
      <c r="E44" s="5" t="s">
        <v>8</v>
      </c>
      <c r="F44" s="6" t="s">
        <v>8</v>
      </c>
    </row>
    <row r="45" spans="1:6" x14ac:dyDescent="0.3">
      <c r="A45" s="7" t="s">
        <v>95</v>
      </c>
      <c r="B45" s="8" t="s">
        <v>96</v>
      </c>
      <c r="C45" s="8">
        <v>10</v>
      </c>
      <c r="D45" s="8" t="s">
        <v>9</v>
      </c>
      <c r="E45" s="8" t="s">
        <v>9</v>
      </c>
      <c r="F45" s="9" t="s">
        <v>9</v>
      </c>
    </row>
    <row r="46" spans="1:6" x14ac:dyDescent="0.3">
      <c r="A46" s="4" t="s">
        <v>97</v>
      </c>
      <c r="B46" s="5" t="s">
        <v>98</v>
      </c>
      <c r="C46" s="5">
        <v>9</v>
      </c>
      <c r="D46" s="5" t="s">
        <v>9</v>
      </c>
      <c r="E46" s="5" t="s">
        <v>9</v>
      </c>
      <c r="F46" s="6" t="s">
        <v>9</v>
      </c>
    </row>
    <row r="47" spans="1:6" x14ac:dyDescent="0.3">
      <c r="A47" s="7" t="s">
        <v>99</v>
      </c>
      <c r="B47" s="8" t="s">
        <v>100</v>
      </c>
      <c r="C47" s="8">
        <v>10</v>
      </c>
      <c r="D47" s="8" t="s">
        <v>8</v>
      </c>
      <c r="E47" s="8" t="s">
        <v>9</v>
      </c>
      <c r="F47" s="9" t="s">
        <v>10</v>
      </c>
    </row>
    <row r="48" spans="1:6" x14ac:dyDescent="0.3">
      <c r="A48" s="4" t="s">
        <v>101</v>
      </c>
      <c r="B48" s="5" t="s">
        <v>102</v>
      </c>
      <c r="C48" s="5">
        <v>10</v>
      </c>
      <c r="D48" s="5" t="s">
        <v>8</v>
      </c>
      <c r="E48" s="5" t="s">
        <v>8</v>
      </c>
      <c r="F48" s="6" t="s">
        <v>10</v>
      </c>
    </row>
    <row r="49" spans="1:6" x14ac:dyDescent="0.3">
      <c r="A49" s="7" t="s">
        <v>103</v>
      </c>
      <c r="B49" s="8" t="s">
        <v>104</v>
      </c>
      <c r="C49" s="8">
        <v>8</v>
      </c>
      <c r="D49" s="8" t="s">
        <v>8</v>
      </c>
      <c r="E49" s="8" t="s">
        <v>9</v>
      </c>
      <c r="F49" s="9" t="s">
        <v>10</v>
      </c>
    </row>
    <row r="50" spans="1:6" x14ac:dyDescent="0.3">
      <c r="A50" s="4" t="s">
        <v>105</v>
      </c>
      <c r="B50" s="5" t="s">
        <v>106</v>
      </c>
      <c r="C50" s="5">
        <v>4</v>
      </c>
      <c r="D50" s="5" t="s">
        <v>8</v>
      </c>
      <c r="E50" s="5" t="s">
        <v>9</v>
      </c>
      <c r="F50" s="6" t="s">
        <v>10</v>
      </c>
    </row>
    <row r="51" spans="1:6" x14ac:dyDescent="0.3">
      <c r="A51" s="10" t="s">
        <v>107</v>
      </c>
      <c r="B51" s="11" t="s">
        <v>108</v>
      </c>
      <c r="C51" s="11">
        <v>9</v>
      </c>
      <c r="D51" s="11" t="s">
        <v>9</v>
      </c>
      <c r="E51" s="11" t="s">
        <v>9</v>
      </c>
      <c r="F51" s="12" t="s">
        <v>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>
      <pane ySplit="1" topLeftCell="A2" activePane="bottomLeft" state="frozen"/>
      <selection pane="bottomLeft" activeCell="E18" sqref="E18"/>
    </sheetView>
  </sheetViews>
  <sheetFormatPr baseColWidth="10" defaultColWidth="8.88671875" defaultRowHeight="14.4" x14ac:dyDescent="0.3"/>
  <cols>
    <col min="1" max="1" width="14.44140625" customWidth="1"/>
    <col min="2" max="2" width="15.33203125" customWidth="1"/>
    <col min="3" max="3" width="20.5546875" customWidth="1"/>
    <col min="4" max="4" width="21.109375" customWidth="1"/>
  </cols>
  <sheetData>
    <row r="1" spans="1:4" ht="21.75" customHeight="1" x14ac:dyDescent="0.3">
      <c r="A1" t="s">
        <v>109</v>
      </c>
      <c r="B1" t="s">
        <v>1</v>
      </c>
      <c r="C1" t="s">
        <v>110</v>
      </c>
      <c r="D1" s="19" t="s">
        <v>111</v>
      </c>
    </row>
    <row r="2" spans="1:4" x14ac:dyDescent="0.3">
      <c r="A2" t="s">
        <v>112</v>
      </c>
      <c r="B2" t="s">
        <v>113</v>
      </c>
      <c r="C2" t="s">
        <v>114</v>
      </c>
      <c r="D2">
        <f>SUMIF(Dim_Capacitacion!$B$2:$B$53,A2,Dim_Capacitacion!$E$2:$E$53)</f>
        <v>44</v>
      </c>
    </row>
    <row r="3" spans="1:4" x14ac:dyDescent="0.3">
      <c r="A3" t="s">
        <v>115</v>
      </c>
      <c r="B3" t="s">
        <v>116</v>
      </c>
      <c r="C3" t="s">
        <v>117</v>
      </c>
      <c r="D3">
        <f>SUMIF(Dim_Capacitacion!$B$2:$B$53,A3,Dim_Capacitacion!$E$2:$E$53)</f>
        <v>38</v>
      </c>
    </row>
    <row r="4" spans="1:4" x14ac:dyDescent="0.3">
      <c r="A4" t="s">
        <v>118</v>
      </c>
      <c r="B4" t="s">
        <v>119</v>
      </c>
      <c r="C4" t="s">
        <v>120</v>
      </c>
      <c r="D4">
        <f>SUMIF(Dim_Capacitacion!$B$2:$B$53,A4,Dim_Capacitacion!$E$2:$E$53)</f>
        <v>44</v>
      </c>
    </row>
    <row r="5" spans="1:4" x14ac:dyDescent="0.3">
      <c r="A5" t="s">
        <v>121</v>
      </c>
      <c r="B5" t="s">
        <v>122</v>
      </c>
      <c r="C5" t="s">
        <v>123</v>
      </c>
      <c r="D5">
        <f>SUMIF(Dim_Capacitacion!$B$2:$B$53,A5,Dim_Capacitacion!$E$2:$E$53)</f>
        <v>48</v>
      </c>
    </row>
    <row r="6" spans="1:4" x14ac:dyDescent="0.3">
      <c r="A6" t="s">
        <v>124</v>
      </c>
      <c r="B6" t="s">
        <v>125</v>
      </c>
      <c r="C6" t="s">
        <v>126</v>
      </c>
      <c r="D6">
        <f>SUMIF(Dim_Capacitacion!$B$2:$B$53,A6,Dim_Capacitacion!$E$2:$E$53)</f>
        <v>46</v>
      </c>
    </row>
    <row r="7" spans="1:4" x14ac:dyDescent="0.3">
      <c r="A7" t="s">
        <v>127</v>
      </c>
      <c r="B7" t="s">
        <v>128</v>
      </c>
      <c r="C7" t="s">
        <v>129</v>
      </c>
      <c r="D7">
        <f>SUMIF(Dim_Capacitacion!$B$2:$B$53,A7,Dim_Capacitacion!$E$2:$E$53)</f>
        <v>52</v>
      </c>
    </row>
    <row r="8" spans="1:4" x14ac:dyDescent="0.3">
      <c r="A8" t="s">
        <v>130</v>
      </c>
      <c r="B8" t="s">
        <v>131</v>
      </c>
      <c r="C8" t="s">
        <v>132</v>
      </c>
      <c r="D8">
        <f>SUMIF(Dim_Capacitacion!$B$2:$B$53,A8,Dim_Capacitacion!$E$2:$E$53)</f>
        <v>40</v>
      </c>
    </row>
    <row r="9" spans="1:4" x14ac:dyDescent="0.3">
      <c r="A9" t="s">
        <v>133</v>
      </c>
      <c r="B9" t="s">
        <v>134</v>
      </c>
      <c r="C9" t="s">
        <v>135</v>
      </c>
      <c r="D9">
        <f>SUMIF(Dim_Capacitacion!$B$2:$B$53,A9,Dim_Capacitacion!$E$2:$E$53)</f>
        <v>42</v>
      </c>
    </row>
    <row r="10" spans="1:4" x14ac:dyDescent="0.3">
      <c r="A10" t="s">
        <v>136</v>
      </c>
      <c r="B10" t="s">
        <v>137</v>
      </c>
      <c r="C10" t="s">
        <v>138</v>
      </c>
      <c r="D10">
        <f>SUMIF(Dim_Capacitacion!$B$2:$B$53,A10,Dim_Capacitacion!$E$2:$E$53)</f>
        <v>36</v>
      </c>
    </row>
    <row r="11" spans="1:4" x14ac:dyDescent="0.3">
      <c r="A11" t="s">
        <v>139</v>
      </c>
      <c r="B11" t="s">
        <v>140</v>
      </c>
      <c r="C11" t="s">
        <v>141</v>
      </c>
      <c r="D11">
        <f>SUMIF(Dim_Capacitacion!$B$2:$B$53,A11,Dim_Capacitacion!$E$2:$E$53)</f>
        <v>40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Normal="100" workbookViewId="0">
      <pane ySplit="1" topLeftCell="A2" activePane="bottomLeft" state="frozen"/>
      <selection pane="bottomLeft" activeCell="E22" sqref="E22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3" width="12" customWidth="1"/>
    <col min="4" max="4" width="8" customWidth="1"/>
    <col min="5" max="5" width="18.33203125" customWidth="1"/>
  </cols>
  <sheetData>
    <row r="1" spans="1:5" ht="21.75" customHeight="1" x14ac:dyDescent="0.3">
      <c r="A1" s="1" t="s">
        <v>142</v>
      </c>
      <c r="B1" s="2" t="s">
        <v>143</v>
      </c>
      <c r="C1" s="2" t="s">
        <v>144</v>
      </c>
      <c r="D1" s="2" t="s">
        <v>145</v>
      </c>
      <c r="E1" s="3" t="s">
        <v>146</v>
      </c>
    </row>
    <row r="2" spans="1:5" x14ac:dyDescent="0.3">
      <c r="A2" s="4" t="s">
        <v>147</v>
      </c>
      <c r="B2" s="5" t="s">
        <v>148</v>
      </c>
      <c r="C2" s="5">
        <v>1</v>
      </c>
      <c r="D2" s="5">
        <v>2026</v>
      </c>
      <c r="E2" s="13">
        <v>46037</v>
      </c>
    </row>
    <row r="3" spans="1:5" x14ac:dyDescent="0.3">
      <c r="A3" s="7" t="s">
        <v>149</v>
      </c>
      <c r="B3" s="8" t="s">
        <v>150</v>
      </c>
      <c r="C3" s="8">
        <v>1</v>
      </c>
      <c r="D3" s="8">
        <v>2026</v>
      </c>
      <c r="E3" s="14">
        <v>46068</v>
      </c>
    </row>
    <row r="4" spans="1:5" x14ac:dyDescent="0.3">
      <c r="A4" s="4" t="s">
        <v>151</v>
      </c>
      <c r="B4" s="5" t="s">
        <v>152</v>
      </c>
      <c r="C4" s="5">
        <v>1</v>
      </c>
      <c r="D4" s="5">
        <v>2026</v>
      </c>
      <c r="E4" s="13">
        <v>46096</v>
      </c>
    </row>
    <row r="5" spans="1:5" x14ac:dyDescent="0.3">
      <c r="A5" s="7" t="s">
        <v>153</v>
      </c>
      <c r="B5" s="8" t="s">
        <v>154</v>
      </c>
      <c r="C5" s="8">
        <v>2</v>
      </c>
      <c r="D5" s="8">
        <v>2026</v>
      </c>
      <c r="E5" s="14">
        <v>46127</v>
      </c>
    </row>
    <row r="6" spans="1:5" x14ac:dyDescent="0.3">
      <c r="A6" s="4" t="s">
        <v>155</v>
      </c>
      <c r="B6" s="5" t="s">
        <v>156</v>
      </c>
      <c r="C6" s="5">
        <v>2</v>
      </c>
      <c r="D6" s="5">
        <v>2026</v>
      </c>
      <c r="E6" s="13">
        <v>46157</v>
      </c>
    </row>
    <row r="7" spans="1:5" x14ac:dyDescent="0.3">
      <c r="A7" s="7" t="s">
        <v>157</v>
      </c>
      <c r="B7" s="8" t="s">
        <v>158</v>
      </c>
      <c r="C7" s="8">
        <v>2</v>
      </c>
      <c r="D7" s="8">
        <v>2026</v>
      </c>
      <c r="E7" s="14">
        <v>46188</v>
      </c>
    </row>
    <row r="8" spans="1:5" x14ac:dyDescent="0.3">
      <c r="A8" s="4" t="s">
        <v>159</v>
      </c>
      <c r="B8" s="5" t="s">
        <v>160</v>
      </c>
      <c r="C8" s="5">
        <v>3</v>
      </c>
      <c r="D8" s="5">
        <v>2026</v>
      </c>
      <c r="E8" s="13">
        <v>46218</v>
      </c>
    </row>
    <row r="9" spans="1:5" x14ac:dyDescent="0.3">
      <c r="A9" s="7" t="s">
        <v>161</v>
      </c>
      <c r="B9" s="8" t="s">
        <v>162</v>
      </c>
      <c r="C9" s="8">
        <v>3</v>
      </c>
      <c r="D9" s="8">
        <v>2026</v>
      </c>
      <c r="E9" s="14">
        <v>46249</v>
      </c>
    </row>
    <row r="10" spans="1:5" x14ac:dyDescent="0.3">
      <c r="A10" s="4" t="s">
        <v>163</v>
      </c>
      <c r="B10" s="5" t="s">
        <v>164</v>
      </c>
      <c r="C10" s="5">
        <v>3</v>
      </c>
      <c r="D10" s="5">
        <v>2026</v>
      </c>
      <c r="E10" s="13">
        <v>46280</v>
      </c>
    </row>
    <row r="11" spans="1:5" x14ac:dyDescent="0.3">
      <c r="A11" s="7" t="s">
        <v>165</v>
      </c>
      <c r="B11" s="8" t="s">
        <v>166</v>
      </c>
      <c r="C11" s="8">
        <v>4</v>
      </c>
      <c r="D11" s="8">
        <v>2026</v>
      </c>
      <c r="E11" s="14">
        <v>46310</v>
      </c>
    </row>
    <row r="12" spans="1:5" x14ac:dyDescent="0.3">
      <c r="A12" s="4" t="s">
        <v>167</v>
      </c>
      <c r="B12" s="5" t="s">
        <v>168</v>
      </c>
      <c r="C12" s="5">
        <v>4</v>
      </c>
      <c r="D12" s="5">
        <v>2026</v>
      </c>
      <c r="E12" s="13">
        <v>46341</v>
      </c>
    </row>
    <row r="13" spans="1:5" x14ac:dyDescent="0.3">
      <c r="A13" s="10" t="s">
        <v>169</v>
      </c>
      <c r="B13" s="11" t="s">
        <v>170</v>
      </c>
      <c r="C13" s="11">
        <v>4</v>
      </c>
      <c r="D13" s="11">
        <v>2026</v>
      </c>
      <c r="E13" s="15">
        <v>46371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3"/>
  <sheetViews>
    <sheetView zoomScaleNormal="100" workbookViewId="0">
      <pane ySplit="1" topLeftCell="A29" activePane="bottomLeft" state="frozen"/>
      <selection pane="bottomLeft" activeCell="G44" sqref="G44"/>
    </sheetView>
  </sheetViews>
  <sheetFormatPr baseColWidth="10" defaultColWidth="8.88671875" defaultRowHeight="14.4" x14ac:dyDescent="0.3"/>
  <cols>
    <col min="1" max="1" width="13.109375" customWidth="1"/>
    <col min="2" max="2" width="14.21875" customWidth="1"/>
    <col min="3" max="3" width="30" customWidth="1"/>
    <col min="4" max="4" width="12" customWidth="1"/>
    <col min="5" max="5" width="8.109375" customWidth="1"/>
  </cols>
  <sheetData>
    <row r="1" spans="1:5" ht="21.75" customHeight="1" x14ac:dyDescent="0.3">
      <c r="A1" s="1" t="s">
        <v>171</v>
      </c>
      <c r="B1" s="2" t="s">
        <v>109</v>
      </c>
      <c r="C1" s="2" t="s">
        <v>172</v>
      </c>
      <c r="D1" s="2" t="s">
        <v>144</v>
      </c>
      <c r="E1" s="3" t="s">
        <v>173</v>
      </c>
    </row>
    <row r="2" spans="1:5" x14ac:dyDescent="0.3">
      <c r="A2" s="4" t="s">
        <v>174</v>
      </c>
      <c r="B2" s="5" t="s">
        <v>112</v>
      </c>
      <c r="C2" s="5" t="s">
        <v>175</v>
      </c>
      <c r="D2" s="5">
        <v>4</v>
      </c>
      <c r="E2" s="6">
        <v>6</v>
      </c>
    </row>
    <row r="3" spans="1:5" x14ac:dyDescent="0.3">
      <c r="A3" s="7" t="s">
        <v>176</v>
      </c>
      <c r="B3" s="8" t="s">
        <v>112</v>
      </c>
      <c r="C3" s="8" t="s">
        <v>177</v>
      </c>
      <c r="D3" s="8">
        <v>1</v>
      </c>
      <c r="E3" s="9">
        <v>6</v>
      </c>
    </row>
    <row r="4" spans="1:5" x14ac:dyDescent="0.3">
      <c r="A4" s="4" t="s">
        <v>178</v>
      </c>
      <c r="B4" s="5" t="s">
        <v>112</v>
      </c>
      <c r="C4" s="5" t="s">
        <v>179</v>
      </c>
      <c r="D4" s="5">
        <v>2</v>
      </c>
      <c r="E4" s="6">
        <v>8</v>
      </c>
    </row>
    <row r="5" spans="1:5" x14ac:dyDescent="0.3">
      <c r="A5" s="7" t="s">
        <v>180</v>
      </c>
      <c r="B5" s="8" t="s">
        <v>112</v>
      </c>
      <c r="C5" s="8" t="s">
        <v>175</v>
      </c>
      <c r="D5" s="8">
        <v>3</v>
      </c>
      <c r="E5" s="9">
        <v>8</v>
      </c>
    </row>
    <row r="6" spans="1:5" x14ac:dyDescent="0.3">
      <c r="A6" s="4" t="s">
        <v>181</v>
      </c>
      <c r="B6" s="5" t="s">
        <v>112</v>
      </c>
      <c r="C6" s="5" t="s">
        <v>182</v>
      </c>
      <c r="D6" s="5">
        <v>4</v>
      </c>
      <c r="E6" s="6">
        <v>16</v>
      </c>
    </row>
    <row r="7" spans="1:5" x14ac:dyDescent="0.3">
      <c r="A7" s="7" t="s">
        <v>183</v>
      </c>
      <c r="B7" s="8" t="s">
        <v>115</v>
      </c>
      <c r="C7" s="8" t="s">
        <v>175</v>
      </c>
      <c r="D7" s="8">
        <v>3</v>
      </c>
      <c r="E7" s="9">
        <v>16</v>
      </c>
    </row>
    <row r="8" spans="1:5" x14ac:dyDescent="0.3">
      <c r="A8" s="4" t="s">
        <v>184</v>
      </c>
      <c r="B8" s="5" t="s">
        <v>115</v>
      </c>
      <c r="C8" s="5" t="s">
        <v>185</v>
      </c>
      <c r="D8" s="5">
        <v>2</v>
      </c>
      <c r="E8" s="6">
        <v>8</v>
      </c>
    </row>
    <row r="9" spans="1:5" x14ac:dyDescent="0.3">
      <c r="A9" s="7" t="s">
        <v>186</v>
      </c>
      <c r="B9" s="8" t="s">
        <v>115</v>
      </c>
      <c r="C9" s="8" t="s">
        <v>179</v>
      </c>
      <c r="D9" s="8">
        <v>1</v>
      </c>
      <c r="E9" s="9">
        <v>6</v>
      </c>
    </row>
    <row r="10" spans="1:5" x14ac:dyDescent="0.3">
      <c r="A10" s="4" t="s">
        <v>187</v>
      </c>
      <c r="B10" s="5" t="s">
        <v>115</v>
      </c>
      <c r="C10" s="5" t="s">
        <v>188</v>
      </c>
      <c r="D10" s="5">
        <v>3</v>
      </c>
      <c r="E10" s="6">
        <v>8</v>
      </c>
    </row>
    <row r="11" spans="1:5" x14ac:dyDescent="0.3">
      <c r="A11" s="7" t="s">
        <v>189</v>
      </c>
      <c r="B11" s="8" t="s">
        <v>118</v>
      </c>
      <c r="C11" s="8" t="s">
        <v>185</v>
      </c>
      <c r="D11" s="8">
        <v>3</v>
      </c>
      <c r="E11" s="9">
        <v>6</v>
      </c>
    </row>
    <row r="12" spans="1:5" x14ac:dyDescent="0.3">
      <c r="A12" s="4" t="s">
        <v>190</v>
      </c>
      <c r="B12" s="5" t="s">
        <v>118</v>
      </c>
      <c r="C12" s="5" t="s">
        <v>182</v>
      </c>
      <c r="D12" s="5">
        <v>3</v>
      </c>
      <c r="E12" s="6">
        <v>16</v>
      </c>
    </row>
    <row r="13" spans="1:5" x14ac:dyDescent="0.3">
      <c r="A13" s="7" t="s">
        <v>191</v>
      </c>
      <c r="B13" s="8" t="s">
        <v>118</v>
      </c>
      <c r="C13" s="8" t="s">
        <v>192</v>
      </c>
      <c r="D13" s="8">
        <v>2</v>
      </c>
      <c r="E13" s="9">
        <v>8</v>
      </c>
    </row>
    <row r="14" spans="1:5" x14ac:dyDescent="0.3">
      <c r="A14" s="4" t="s">
        <v>193</v>
      </c>
      <c r="B14" s="5" t="s">
        <v>118</v>
      </c>
      <c r="C14" s="5" t="s">
        <v>175</v>
      </c>
      <c r="D14" s="5">
        <v>3</v>
      </c>
      <c r="E14" s="6">
        <v>12</v>
      </c>
    </row>
    <row r="15" spans="1:5" x14ac:dyDescent="0.3">
      <c r="A15" s="7" t="s">
        <v>194</v>
      </c>
      <c r="B15" s="8" t="s">
        <v>118</v>
      </c>
      <c r="C15" s="8" t="s">
        <v>175</v>
      </c>
      <c r="D15" s="8">
        <v>4</v>
      </c>
      <c r="E15" s="9">
        <v>2</v>
      </c>
    </row>
    <row r="16" spans="1:5" x14ac:dyDescent="0.3">
      <c r="A16" s="4" t="s">
        <v>195</v>
      </c>
      <c r="B16" s="5" t="s">
        <v>121</v>
      </c>
      <c r="C16" s="5" t="s">
        <v>196</v>
      </c>
      <c r="D16" s="5">
        <v>4</v>
      </c>
      <c r="E16" s="6">
        <v>16</v>
      </c>
    </row>
    <row r="17" spans="1:5" x14ac:dyDescent="0.3">
      <c r="A17" s="7" t="s">
        <v>197</v>
      </c>
      <c r="B17" s="8" t="s">
        <v>121</v>
      </c>
      <c r="C17" s="8" t="s">
        <v>192</v>
      </c>
      <c r="D17" s="8">
        <v>2</v>
      </c>
      <c r="E17" s="9">
        <v>12</v>
      </c>
    </row>
    <row r="18" spans="1:5" x14ac:dyDescent="0.3">
      <c r="A18" s="4" t="s">
        <v>198</v>
      </c>
      <c r="B18" s="5" t="s">
        <v>121</v>
      </c>
      <c r="C18" s="5" t="s">
        <v>188</v>
      </c>
      <c r="D18" s="5">
        <v>3</v>
      </c>
      <c r="E18" s="6">
        <v>8</v>
      </c>
    </row>
    <row r="19" spans="1:5" x14ac:dyDescent="0.3">
      <c r="A19" s="7" t="s">
        <v>199</v>
      </c>
      <c r="B19" s="8" t="s">
        <v>121</v>
      </c>
      <c r="C19" s="8" t="s">
        <v>188</v>
      </c>
      <c r="D19" s="8">
        <v>1</v>
      </c>
      <c r="E19" s="9">
        <v>12</v>
      </c>
    </row>
    <row r="20" spans="1:5" x14ac:dyDescent="0.3">
      <c r="A20" s="4" t="s">
        <v>200</v>
      </c>
      <c r="B20" s="5" t="s">
        <v>124</v>
      </c>
      <c r="C20" s="5" t="s">
        <v>188</v>
      </c>
      <c r="D20" s="5">
        <v>4</v>
      </c>
      <c r="E20" s="6">
        <v>16</v>
      </c>
    </row>
    <row r="21" spans="1:5" x14ac:dyDescent="0.3">
      <c r="A21" s="7" t="s">
        <v>201</v>
      </c>
      <c r="B21" s="8" t="s">
        <v>124</v>
      </c>
      <c r="C21" s="8" t="s">
        <v>185</v>
      </c>
      <c r="D21" s="8">
        <v>1</v>
      </c>
      <c r="E21" s="9">
        <v>16</v>
      </c>
    </row>
    <row r="22" spans="1:5" x14ac:dyDescent="0.3">
      <c r="A22" s="4" t="s">
        <v>202</v>
      </c>
      <c r="B22" s="5" t="s">
        <v>124</v>
      </c>
      <c r="C22" s="5" t="s">
        <v>203</v>
      </c>
      <c r="D22" s="5">
        <v>3</v>
      </c>
      <c r="E22" s="6">
        <v>4</v>
      </c>
    </row>
    <row r="23" spans="1:5" x14ac:dyDescent="0.3">
      <c r="A23" s="7" t="s">
        <v>204</v>
      </c>
      <c r="B23" s="8" t="s">
        <v>124</v>
      </c>
      <c r="C23" s="8" t="s">
        <v>185</v>
      </c>
      <c r="D23" s="8">
        <v>4</v>
      </c>
      <c r="E23" s="9">
        <v>4</v>
      </c>
    </row>
    <row r="24" spans="1:5" x14ac:dyDescent="0.3">
      <c r="A24" s="4" t="s">
        <v>205</v>
      </c>
      <c r="B24" s="5" t="s">
        <v>124</v>
      </c>
      <c r="C24" s="5" t="s">
        <v>206</v>
      </c>
      <c r="D24" s="5">
        <v>2</v>
      </c>
      <c r="E24" s="6">
        <v>4</v>
      </c>
    </row>
    <row r="25" spans="1:5" x14ac:dyDescent="0.3">
      <c r="A25" s="7" t="s">
        <v>207</v>
      </c>
      <c r="B25" s="8" t="s">
        <v>124</v>
      </c>
      <c r="C25" s="8" t="s">
        <v>175</v>
      </c>
      <c r="D25" s="8">
        <v>1</v>
      </c>
      <c r="E25" s="9">
        <v>2</v>
      </c>
    </row>
    <row r="26" spans="1:5" x14ac:dyDescent="0.3">
      <c r="A26" s="4" t="s">
        <v>208</v>
      </c>
      <c r="B26" s="5" t="s">
        <v>127</v>
      </c>
      <c r="C26" s="5" t="s">
        <v>182</v>
      </c>
      <c r="D26" s="5">
        <v>1</v>
      </c>
      <c r="E26" s="6">
        <v>6</v>
      </c>
    </row>
    <row r="27" spans="1:5" x14ac:dyDescent="0.3">
      <c r="A27" s="7" t="s">
        <v>209</v>
      </c>
      <c r="B27" s="8" t="s">
        <v>127</v>
      </c>
      <c r="C27" s="8" t="s">
        <v>185</v>
      </c>
      <c r="D27" s="8">
        <v>3</v>
      </c>
      <c r="E27" s="9">
        <v>16</v>
      </c>
    </row>
    <row r="28" spans="1:5" x14ac:dyDescent="0.3">
      <c r="A28" s="4" t="s">
        <v>210</v>
      </c>
      <c r="B28" s="5" t="s">
        <v>127</v>
      </c>
      <c r="C28" s="5" t="s">
        <v>211</v>
      </c>
      <c r="D28" s="5">
        <v>3</v>
      </c>
      <c r="E28" s="6">
        <v>6</v>
      </c>
    </row>
    <row r="29" spans="1:5" x14ac:dyDescent="0.3">
      <c r="A29" s="7" t="s">
        <v>212</v>
      </c>
      <c r="B29" s="8" t="s">
        <v>127</v>
      </c>
      <c r="C29" s="8" t="s">
        <v>203</v>
      </c>
      <c r="D29" s="8">
        <v>1</v>
      </c>
      <c r="E29" s="9">
        <v>6</v>
      </c>
    </row>
    <row r="30" spans="1:5" x14ac:dyDescent="0.3">
      <c r="A30" s="4" t="s">
        <v>213</v>
      </c>
      <c r="B30" s="5" t="s">
        <v>127</v>
      </c>
      <c r="C30" s="5" t="s">
        <v>214</v>
      </c>
      <c r="D30" s="5">
        <v>2</v>
      </c>
      <c r="E30" s="6">
        <v>4</v>
      </c>
    </row>
    <row r="31" spans="1:5" x14ac:dyDescent="0.3">
      <c r="A31" s="7" t="s">
        <v>215</v>
      </c>
      <c r="B31" s="8" t="s">
        <v>127</v>
      </c>
      <c r="C31" s="8" t="s">
        <v>192</v>
      </c>
      <c r="D31" s="8">
        <v>1</v>
      </c>
      <c r="E31" s="9">
        <v>6</v>
      </c>
    </row>
    <row r="32" spans="1:5" x14ac:dyDescent="0.3">
      <c r="A32" s="4" t="s">
        <v>216</v>
      </c>
      <c r="B32" s="5" t="s">
        <v>127</v>
      </c>
      <c r="C32" s="5" t="s">
        <v>206</v>
      </c>
      <c r="D32" s="5">
        <v>4</v>
      </c>
      <c r="E32" s="6">
        <v>4</v>
      </c>
    </row>
    <row r="33" spans="1:5" x14ac:dyDescent="0.3">
      <c r="A33" s="7" t="s">
        <v>217</v>
      </c>
      <c r="B33" s="8" t="s">
        <v>127</v>
      </c>
      <c r="C33" s="8" t="s">
        <v>182</v>
      </c>
      <c r="D33" s="8">
        <v>4</v>
      </c>
      <c r="E33" s="9">
        <v>4</v>
      </c>
    </row>
    <row r="34" spans="1:5" x14ac:dyDescent="0.3">
      <c r="A34" s="4" t="s">
        <v>218</v>
      </c>
      <c r="B34" s="5" t="s">
        <v>130</v>
      </c>
      <c r="C34" s="5" t="s">
        <v>203</v>
      </c>
      <c r="D34" s="5">
        <v>2</v>
      </c>
      <c r="E34" s="6">
        <v>4</v>
      </c>
    </row>
    <row r="35" spans="1:5" x14ac:dyDescent="0.3">
      <c r="A35" s="7" t="s">
        <v>219</v>
      </c>
      <c r="B35" s="8" t="s">
        <v>130</v>
      </c>
      <c r="C35" s="8" t="s">
        <v>196</v>
      </c>
      <c r="D35" s="8">
        <v>4</v>
      </c>
      <c r="E35" s="9">
        <v>16</v>
      </c>
    </row>
    <row r="36" spans="1:5" x14ac:dyDescent="0.3">
      <c r="A36" s="4" t="s">
        <v>220</v>
      </c>
      <c r="B36" s="5" t="s">
        <v>130</v>
      </c>
      <c r="C36" s="5" t="s">
        <v>177</v>
      </c>
      <c r="D36" s="5">
        <v>1</v>
      </c>
      <c r="E36" s="6">
        <v>12</v>
      </c>
    </row>
    <row r="37" spans="1:5" x14ac:dyDescent="0.3">
      <c r="A37" s="7" t="s">
        <v>221</v>
      </c>
      <c r="B37" s="8" t="s">
        <v>130</v>
      </c>
      <c r="C37" s="8" t="s">
        <v>179</v>
      </c>
      <c r="D37" s="8">
        <v>3</v>
      </c>
      <c r="E37" s="9">
        <v>8</v>
      </c>
    </row>
    <row r="38" spans="1:5" x14ac:dyDescent="0.3">
      <c r="A38" s="4" t="s">
        <v>222</v>
      </c>
      <c r="B38" s="5" t="s">
        <v>133</v>
      </c>
      <c r="C38" s="5" t="s">
        <v>182</v>
      </c>
      <c r="D38" s="5">
        <v>3</v>
      </c>
      <c r="E38" s="6">
        <v>4</v>
      </c>
    </row>
    <row r="39" spans="1:5" x14ac:dyDescent="0.3">
      <c r="A39" s="7" t="s">
        <v>223</v>
      </c>
      <c r="B39" s="8" t="s">
        <v>133</v>
      </c>
      <c r="C39" s="8" t="s">
        <v>211</v>
      </c>
      <c r="D39" s="8">
        <v>1</v>
      </c>
      <c r="E39" s="9">
        <v>4</v>
      </c>
    </row>
    <row r="40" spans="1:5" x14ac:dyDescent="0.3">
      <c r="A40" s="4" t="s">
        <v>224</v>
      </c>
      <c r="B40" s="5" t="s">
        <v>133</v>
      </c>
      <c r="C40" s="5" t="s">
        <v>192</v>
      </c>
      <c r="D40" s="5">
        <v>4</v>
      </c>
      <c r="E40" s="6">
        <v>6</v>
      </c>
    </row>
    <row r="41" spans="1:5" x14ac:dyDescent="0.3">
      <c r="A41" s="7" t="s">
        <v>225</v>
      </c>
      <c r="B41" s="8" t="s">
        <v>133</v>
      </c>
      <c r="C41" s="8" t="s">
        <v>182</v>
      </c>
      <c r="D41" s="8">
        <v>1</v>
      </c>
      <c r="E41" s="9">
        <v>8</v>
      </c>
    </row>
    <row r="42" spans="1:5" x14ac:dyDescent="0.3">
      <c r="A42" s="4" t="s">
        <v>226</v>
      </c>
      <c r="B42" s="5" t="s">
        <v>133</v>
      </c>
      <c r="C42" s="5" t="s">
        <v>206</v>
      </c>
      <c r="D42" s="5">
        <v>3</v>
      </c>
      <c r="E42" s="6">
        <v>4</v>
      </c>
    </row>
    <row r="43" spans="1:5" x14ac:dyDescent="0.3">
      <c r="A43" s="7" t="s">
        <v>227</v>
      </c>
      <c r="B43" s="8" t="s">
        <v>133</v>
      </c>
      <c r="C43" s="8" t="s">
        <v>206</v>
      </c>
      <c r="D43" s="8">
        <v>3</v>
      </c>
      <c r="E43" s="9">
        <v>4</v>
      </c>
    </row>
    <row r="44" spans="1:5" x14ac:dyDescent="0.3">
      <c r="A44" s="4" t="s">
        <v>228</v>
      </c>
      <c r="B44" s="5" t="s">
        <v>133</v>
      </c>
      <c r="C44" s="5" t="s">
        <v>179</v>
      </c>
      <c r="D44" s="5">
        <v>2</v>
      </c>
      <c r="E44" s="6">
        <v>12</v>
      </c>
    </row>
    <row r="45" spans="1:5" x14ac:dyDescent="0.3">
      <c r="A45" s="7" t="s">
        <v>229</v>
      </c>
      <c r="B45" s="8" t="s">
        <v>136</v>
      </c>
      <c r="C45" s="8" t="s">
        <v>179</v>
      </c>
      <c r="D45" s="8">
        <v>4</v>
      </c>
      <c r="E45" s="9">
        <v>8</v>
      </c>
    </row>
    <row r="46" spans="1:5" x14ac:dyDescent="0.3">
      <c r="A46" s="4" t="s">
        <v>230</v>
      </c>
      <c r="B46" s="5" t="s">
        <v>136</v>
      </c>
      <c r="C46" s="5" t="s">
        <v>206</v>
      </c>
      <c r="D46" s="5">
        <v>4</v>
      </c>
      <c r="E46" s="6">
        <v>16</v>
      </c>
    </row>
    <row r="47" spans="1:5" x14ac:dyDescent="0.3">
      <c r="A47" s="7" t="s">
        <v>231</v>
      </c>
      <c r="B47" s="8" t="s">
        <v>136</v>
      </c>
      <c r="C47" s="8" t="s">
        <v>179</v>
      </c>
      <c r="D47" s="8">
        <v>2</v>
      </c>
      <c r="E47" s="9">
        <v>8</v>
      </c>
    </row>
    <row r="48" spans="1:5" x14ac:dyDescent="0.3">
      <c r="A48" s="4" t="s">
        <v>232</v>
      </c>
      <c r="B48" s="5" t="s">
        <v>136</v>
      </c>
      <c r="C48" s="5" t="s">
        <v>206</v>
      </c>
      <c r="D48" s="5">
        <v>4</v>
      </c>
      <c r="E48" s="6">
        <v>4</v>
      </c>
    </row>
    <row r="49" spans="1:5" x14ac:dyDescent="0.3">
      <c r="A49" s="7" t="s">
        <v>233</v>
      </c>
      <c r="B49" s="8" t="s">
        <v>139</v>
      </c>
      <c r="C49" s="8" t="s">
        <v>206</v>
      </c>
      <c r="D49" s="8">
        <v>4</v>
      </c>
      <c r="E49" s="9">
        <v>6</v>
      </c>
    </row>
    <row r="50" spans="1:5" x14ac:dyDescent="0.3">
      <c r="A50" s="4" t="s">
        <v>234</v>
      </c>
      <c r="B50" s="5" t="s">
        <v>139</v>
      </c>
      <c r="C50" s="5" t="s">
        <v>175</v>
      </c>
      <c r="D50" s="5">
        <v>4</v>
      </c>
      <c r="E50" s="6">
        <v>12</v>
      </c>
    </row>
    <row r="51" spans="1:5" x14ac:dyDescent="0.3">
      <c r="A51" s="7" t="s">
        <v>235</v>
      </c>
      <c r="B51" s="8" t="s">
        <v>139</v>
      </c>
      <c r="C51" s="8" t="s">
        <v>196</v>
      </c>
      <c r="D51" s="8">
        <v>2</v>
      </c>
      <c r="E51" s="9">
        <v>12</v>
      </c>
    </row>
    <row r="52" spans="1:5" x14ac:dyDescent="0.3">
      <c r="A52" s="4" t="s">
        <v>236</v>
      </c>
      <c r="B52" s="5" t="s">
        <v>139</v>
      </c>
      <c r="C52" s="5" t="s">
        <v>179</v>
      </c>
      <c r="D52" s="5">
        <v>3</v>
      </c>
      <c r="E52" s="6">
        <v>6</v>
      </c>
    </row>
    <row r="53" spans="1:5" x14ac:dyDescent="0.3">
      <c r="A53" s="10" t="s">
        <v>237</v>
      </c>
      <c r="B53" s="11" t="s">
        <v>139</v>
      </c>
      <c r="C53" s="11" t="s">
        <v>192</v>
      </c>
      <c r="D53" s="11">
        <v>2</v>
      </c>
      <c r="E53" s="12">
        <v>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zoomScaleNormal="100" workbookViewId="0">
      <pane ySplit="1" topLeftCell="A2" activePane="bottomLeft" state="frozen"/>
      <selection pane="bottomLeft" activeCell="B9" sqref="B9"/>
    </sheetView>
  </sheetViews>
  <sheetFormatPr baseColWidth="10" defaultColWidth="8.88671875" defaultRowHeight="14.4" x14ac:dyDescent="0.3"/>
  <cols>
    <col min="1" max="1" width="12.33203125" customWidth="1"/>
    <col min="2" max="2" width="32.6640625" customWidth="1"/>
  </cols>
  <sheetData>
    <row r="1" spans="1:2" ht="21.75" customHeight="1" x14ac:dyDescent="0.3">
      <c r="A1" t="s">
        <v>238</v>
      </c>
      <c r="B1" t="s">
        <v>239</v>
      </c>
    </row>
    <row r="2" spans="1:2" x14ac:dyDescent="0.3">
      <c r="A2" t="s">
        <v>240</v>
      </c>
      <c r="B2" t="s">
        <v>241</v>
      </c>
    </row>
    <row r="3" spans="1:2" x14ac:dyDescent="0.3">
      <c r="A3" t="s">
        <v>242</v>
      </c>
      <c r="B3" t="s">
        <v>243</v>
      </c>
    </row>
    <row r="4" spans="1:2" x14ac:dyDescent="0.3">
      <c r="A4" t="s">
        <v>244</v>
      </c>
      <c r="B4" t="s">
        <v>245</v>
      </c>
    </row>
    <row r="5" spans="1:2" x14ac:dyDescent="0.3">
      <c r="A5" t="s">
        <v>246</v>
      </c>
      <c r="B5" t="s">
        <v>247</v>
      </c>
    </row>
    <row r="6" spans="1:2" x14ac:dyDescent="0.3">
      <c r="A6" t="s">
        <v>248</v>
      </c>
      <c r="B6" t="s">
        <v>249</v>
      </c>
    </row>
    <row r="7" spans="1:2" x14ac:dyDescent="0.3">
      <c r="A7" t="s">
        <v>250</v>
      </c>
      <c r="B7" t="s">
        <v>251</v>
      </c>
    </row>
    <row r="8" spans="1:2" x14ac:dyDescent="0.3">
      <c r="A8" t="s">
        <v>252</v>
      </c>
      <c r="B8" t="s">
        <v>253</v>
      </c>
    </row>
    <row r="9" spans="1:2" x14ac:dyDescent="0.3">
      <c r="A9" t="s">
        <v>254</v>
      </c>
      <c r="B9" t="s">
        <v>255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4" customWidth="1"/>
  </cols>
  <sheetData>
    <row r="1" spans="1:2" ht="21.75" customHeight="1" x14ac:dyDescent="0.3">
      <c r="A1" s="1" t="s">
        <v>256</v>
      </c>
      <c r="B1" s="3" t="s">
        <v>257</v>
      </c>
    </row>
    <row r="2" spans="1:2" x14ac:dyDescent="0.3">
      <c r="A2" s="4" t="s">
        <v>258</v>
      </c>
      <c r="B2" s="6">
        <v>0.12</v>
      </c>
    </row>
    <row r="3" spans="1:2" x14ac:dyDescent="0.3">
      <c r="A3" s="7" t="s">
        <v>259</v>
      </c>
      <c r="B3" s="9">
        <v>0.08</v>
      </c>
    </row>
    <row r="4" spans="1:2" x14ac:dyDescent="0.3">
      <c r="A4" s="4" t="s">
        <v>260</v>
      </c>
      <c r="B4" s="6">
        <v>1.55</v>
      </c>
    </row>
    <row r="5" spans="1:2" x14ac:dyDescent="0.3">
      <c r="A5" s="7" t="s">
        <v>261</v>
      </c>
      <c r="B5" s="9">
        <v>9000000</v>
      </c>
    </row>
    <row r="6" spans="1:2" x14ac:dyDescent="0.3">
      <c r="A6" s="4" t="s">
        <v>262</v>
      </c>
      <c r="B6" s="6">
        <v>0.18</v>
      </c>
    </row>
    <row r="7" spans="1:2" x14ac:dyDescent="0.3">
      <c r="A7" s="7" t="s">
        <v>263</v>
      </c>
      <c r="B7" s="9">
        <v>14</v>
      </c>
    </row>
    <row r="8" spans="1:2" x14ac:dyDescent="0.3">
      <c r="A8" s="4" t="s">
        <v>264</v>
      </c>
      <c r="B8" s="6">
        <v>48</v>
      </c>
    </row>
    <row r="9" spans="1:2" x14ac:dyDescent="0.3">
      <c r="A9" s="7" t="s">
        <v>265</v>
      </c>
      <c r="B9" s="9">
        <v>0.42</v>
      </c>
    </row>
    <row r="10" spans="1:2" x14ac:dyDescent="0.3">
      <c r="A10" s="4" t="s">
        <v>266</v>
      </c>
      <c r="B10" s="6">
        <v>0.32</v>
      </c>
    </row>
    <row r="11" spans="1:2" x14ac:dyDescent="0.3">
      <c r="A11" s="7" t="s">
        <v>267</v>
      </c>
      <c r="B11" s="9">
        <v>36</v>
      </c>
    </row>
    <row r="12" spans="1:2" x14ac:dyDescent="0.3">
      <c r="A12" s="4" t="s">
        <v>268</v>
      </c>
      <c r="B12" s="6">
        <v>0.7</v>
      </c>
    </row>
    <row r="13" spans="1:2" x14ac:dyDescent="0.3">
      <c r="A13" s="7" t="s">
        <v>269</v>
      </c>
      <c r="B13" s="9">
        <v>0.65</v>
      </c>
    </row>
    <row r="14" spans="1:2" x14ac:dyDescent="0.3">
      <c r="A14" s="4" t="s">
        <v>270</v>
      </c>
      <c r="B14" s="6">
        <v>8.5000000000000006E-2</v>
      </c>
    </row>
    <row r="15" spans="1:2" x14ac:dyDescent="0.3">
      <c r="A15" s="7" t="s">
        <v>271</v>
      </c>
      <c r="B15" s="9">
        <v>0.55000000000000004</v>
      </c>
    </row>
    <row r="16" spans="1:2" x14ac:dyDescent="0.3">
      <c r="A16" s="4" t="s">
        <v>272</v>
      </c>
      <c r="B16" s="6">
        <v>1.5</v>
      </c>
    </row>
    <row r="17" spans="1:2" x14ac:dyDescent="0.3">
      <c r="A17" s="7" t="s">
        <v>273</v>
      </c>
      <c r="B17" s="9">
        <v>6</v>
      </c>
    </row>
    <row r="18" spans="1:2" x14ac:dyDescent="0.3">
      <c r="A18" s="4" t="s">
        <v>274</v>
      </c>
      <c r="B18" s="6">
        <v>0.78</v>
      </c>
    </row>
    <row r="19" spans="1:2" x14ac:dyDescent="0.3">
      <c r="A19" s="7" t="s">
        <v>275</v>
      </c>
      <c r="B19" s="9">
        <v>8</v>
      </c>
    </row>
    <row r="20" spans="1:2" x14ac:dyDescent="0.3">
      <c r="A20" s="4" t="s">
        <v>276</v>
      </c>
      <c r="B20" s="6">
        <v>0.05</v>
      </c>
    </row>
    <row r="21" spans="1:2" x14ac:dyDescent="0.3">
      <c r="A21" s="7" t="s">
        <v>277</v>
      </c>
      <c r="B21" s="9">
        <v>180</v>
      </c>
    </row>
    <row r="22" spans="1:2" x14ac:dyDescent="0.3">
      <c r="A22" s="4" t="s">
        <v>278</v>
      </c>
      <c r="B22" s="6">
        <v>0</v>
      </c>
    </row>
    <row r="23" spans="1:2" x14ac:dyDescent="0.3">
      <c r="A23" s="7" t="s">
        <v>279</v>
      </c>
      <c r="B23" s="9">
        <v>65</v>
      </c>
    </row>
    <row r="24" spans="1:2" x14ac:dyDescent="0.3">
      <c r="A24" s="4" t="s">
        <v>280</v>
      </c>
      <c r="B24" s="6">
        <v>28</v>
      </c>
    </row>
    <row r="25" spans="1:2" x14ac:dyDescent="0.3">
      <c r="A25" s="10" t="s">
        <v>281</v>
      </c>
      <c r="B25" s="12">
        <v>0.55000000000000004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6"/>
  <sheetViews>
    <sheetView zoomScaleNormal="100" workbookViewId="0">
      <pane ySplit="1" topLeftCell="A2" activePane="bottomLeft" state="frozen"/>
      <selection pane="bottomLeft" activeCell="G63" sqref="G63"/>
    </sheetView>
  </sheetViews>
  <sheetFormatPr baseColWidth="10" defaultColWidth="8.88671875" defaultRowHeight="14.4" x14ac:dyDescent="0.3"/>
  <cols>
    <col min="1" max="1" width="12.77734375" customWidth="1"/>
    <col min="2" max="2" width="13.21875" customWidth="1"/>
    <col min="3" max="3" width="14.109375" customWidth="1"/>
    <col min="4" max="4" width="17.21875" customWidth="1"/>
  </cols>
  <sheetData>
    <row r="1" spans="1:4" ht="21.75" customHeight="1" x14ac:dyDescent="0.3">
      <c r="A1" t="s">
        <v>282</v>
      </c>
      <c r="B1" t="s">
        <v>283</v>
      </c>
      <c r="C1" t="s">
        <v>109</v>
      </c>
      <c r="D1" t="s">
        <v>284</v>
      </c>
    </row>
    <row r="2" spans="1:4" x14ac:dyDescent="0.3">
      <c r="A2" t="s">
        <v>285</v>
      </c>
      <c r="B2" t="s">
        <v>286</v>
      </c>
      <c r="C2" t="s">
        <v>136</v>
      </c>
      <c r="D2" t="s">
        <v>138</v>
      </c>
    </row>
    <row r="3" spans="1:4" x14ac:dyDescent="0.3">
      <c r="A3" t="s">
        <v>287</v>
      </c>
      <c r="B3" t="s">
        <v>286</v>
      </c>
      <c r="C3" t="s">
        <v>118</v>
      </c>
      <c r="D3" t="s">
        <v>120</v>
      </c>
    </row>
    <row r="4" spans="1:4" x14ac:dyDescent="0.3">
      <c r="A4" t="s">
        <v>288</v>
      </c>
      <c r="B4" t="s">
        <v>289</v>
      </c>
      <c r="C4" t="s">
        <v>112</v>
      </c>
      <c r="D4" t="s">
        <v>114</v>
      </c>
    </row>
    <row r="5" spans="1:4" x14ac:dyDescent="0.3">
      <c r="A5" t="s">
        <v>290</v>
      </c>
      <c r="B5" t="s">
        <v>289</v>
      </c>
      <c r="C5" t="s">
        <v>118</v>
      </c>
      <c r="D5" t="s">
        <v>120</v>
      </c>
    </row>
    <row r="6" spans="1:4" x14ac:dyDescent="0.3">
      <c r="A6" t="s">
        <v>291</v>
      </c>
      <c r="B6" t="s">
        <v>292</v>
      </c>
      <c r="C6" t="s">
        <v>118</v>
      </c>
      <c r="D6" t="s">
        <v>120</v>
      </c>
    </row>
    <row r="7" spans="1:4" x14ac:dyDescent="0.3">
      <c r="A7" t="s">
        <v>293</v>
      </c>
      <c r="B7" t="s">
        <v>292</v>
      </c>
      <c r="C7" t="s">
        <v>121</v>
      </c>
      <c r="D7" t="s">
        <v>123</v>
      </c>
    </row>
    <row r="8" spans="1:4" x14ac:dyDescent="0.3">
      <c r="A8" t="s">
        <v>294</v>
      </c>
      <c r="B8" t="s">
        <v>292</v>
      </c>
      <c r="C8" t="s">
        <v>136</v>
      </c>
      <c r="D8" t="s">
        <v>138</v>
      </c>
    </row>
    <row r="9" spans="1:4" x14ac:dyDescent="0.3">
      <c r="A9" t="s">
        <v>295</v>
      </c>
      <c r="B9" t="s">
        <v>296</v>
      </c>
      <c r="C9" t="s">
        <v>115</v>
      </c>
      <c r="D9" t="s">
        <v>117</v>
      </c>
    </row>
    <row r="10" spans="1:4" x14ac:dyDescent="0.3">
      <c r="A10" t="s">
        <v>297</v>
      </c>
      <c r="B10" t="s">
        <v>296</v>
      </c>
      <c r="C10" t="s">
        <v>121</v>
      </c>
      <c r="D10" t="s">
        <v>123</v>
      </c>
    </row>
    <row r="11" spans="1:4" x14ac:dyDescent="0.3">
      <c r="A11" t="s">
        <v>298</v>
      </c>
      <c r="B11" t="s">
        <v>299</v>
      </c>
      <c r="C11" t="s">
        <v>118</v>
      </c>
      <c r="D11" t="s">
        <v>120</v>
      </c>
    </row>
    <row r="12" spans="1:4" x14ac:dyDescent="0.3">
      <c r="A12" t="s">
        <v>300</v>
      </c>
      <c r="B12" t="s">
        <v>299</v>
      </c>
      <c r="C12" t="s">
        <v>121</v>
      </c>
      <c r="D12" t="s">
        <v>123</v>
      </c>
    </row>
    <row r="13" spans="1:4" x14ac:dyDescent="0.3">
      <c r="A13" t="s">
        <v>301</v>
      </c>
      <c r="B13" t="s">
        <v>302</v>
      </c>
      <c r="C13" t="s">
        <v>112</v>
      </c>
      <c r="D13" t="s">
        <v>114</v>
      </c>
    </row>
    <row r="14" spans="1:4" x14ac:dyDescent="0.3">
      <c r="A14" t="s">
        <v>303</v>
      </c>
      <c r="B14" t="s">
        <v>302</v>
      </c>
      <c r="C14" t="s">
        <v>118</v>
      </c>
      <c r="D14" t="s">
        <v>120</v>
      </c>
    </row>
    <row r="15" spans="1:4" x14ac:dyDescent="0.3">
      <c r="A15" t="s">
        <v>304</v>
      </c>
      <c r="B15" t="s">
        <v>305</v>
      </c>
      <c r="C15" t="s">
        <v>112</v>
      </c>
      <c r="D15" t="s">
        <v>114</v>
      </c>
    </row>
    <row r="16" spans="1:4" x14ac:dyDescent="0.3">
      <c r="A16" t="s">
        <v>306</v>
      </c>
      <c r="B16" t="s">
        <v>305</v>
      </c>
      <c r="C16" t="s">
        <v>118</v>
      </c>
      <c r="D16" t="s">
        <v>120</v>
      </c>
    </row>
    <row r="17" spans="1:4" x14ac:dyDescent="0.3">
      <c r="A17" t="s">
        <v>307</v>
      </c>
      <c r="B17" t="s">
        <v>308</v>
      </c>
      <c r="C17" t="s">
        <v>112</v>
      </c>
      <c r="D17" t="s">
        <v>114</v>
      </c>
    </row>
    <row r="18" spans="1:4" x14ac:dyDescent="0.3">
      <c r="A18" t="s">
        <v>309</v>
      </c>
      <c r="B18" t="s">
        <v>308</v>
      </c>
      <c r="C18" t="s">
        <v>118</v>
      </c>
      <c r="D18" t="s">
        <v>120</v>
      </c>
    </row>
    <row r="19" spans="1:4" x14ac:dyDescent="0.3">
      <c r="A19" t="s">
        <v>310</v>
      </c>
      <c r="B19" t="s">
        <v>311</v>
      </c>
      <c r="C19" t="s">
        <v>115</v>
      </c>
      <c r="D19" t="s">
        <v>117</v>
      </c>
    </row>
    <row r="20" spans="1:4" x14ac:dyDescent="0.3">
      <c r="A20" t="s">
        <v>312</v>
      </c>
      <c r="B20" t="s">
        <v>311</v>
      </c>
      <c r="C20" t="s">
        <v>121</v>
      </c>
      <c r="D20" t="s">
        <v>123</v>
      </c>
    </row>
    <row r="21" spans="1:4" x14ac:dyDescent="0.3">
      <c r="A21" t="s">
        <v>313</v>
      </c>
      <c r="B21" t="s">
        <v>311</v>
      </c>
      <c r="C21" t="s">
        <v>124</v>
      </c>
      <c r="D21" t="s">
        <v>126</v>
      </c>
    </row>
    <row r="22" spans="1:4" x14ac:dyDescent="0.3">
      <c r="A22" t="s">
        <v>314</v>
      </c>
      <c r="B22" t="s">
        <v>315</v>
      </c>
      <c r="C22" t="s">
        <v>136</v>
      </c>
      <c r="D22" t="s">
        <v>138</v>
      </c>
    </row>
    <row r="23" spans="1:4" x14ac:dyDescent="0.3">
      <c r="A23" t="s">
        <v>316</v>
      </c>
      <c r="B23" t="s">
        <v>315</v>
      </c>
      <c r="C23" t="s">
        <v>118</v>
      </c>
      <c r="D23" t="s">
        <v>120</v>
      </c>
    </row>
    <row r="24" spans="1:4" x14ac:dyDescent="0.3">
      <c r="A24" t="s">
        <v>317</v>
      </c>
      <c r="B24" t="s">
        <v>318</v>
      </c>
      <c r="C24" t="s">
        <v>112</v>
      </c>
      <c r="D24" t="s">
        <v>114</v>
      </c>
    </row>
    <row r="25" spans="1:4" x14ac:dyDescent="0.3">
      <c r="A25" t="s">
        <v>319</v>
      </c>
      <c r="B25" t="s">
        <v>318</v>
      </c>
      <c r="C25" t="s">
        <v>118</v>
      </c>
      <c r="D25" t="s">
        <v>120</v>
      </c>
    </row>
    <row r="26" spans="1:4" x14ac:dyDescent="0.3">
      <c r="A26" t="s">
        <v>320</v>
      </c>
      <c r="B26" t="s">
        <v>321</v>
      </c>
      <c r="C26" t="s">
        <v>139</v>
      </c>
      <c r="D26" t="s">
        <v>141</v>
      </c>
    </row>
    <row r="27" spans="1:4" x14ac:dyDescent="0.3">
      <c r="A27" t="s">
        <v>322</v>
      </c>
      <c r="B27" t="s">
        <v>321</v>
      </c>
      <c r="C27" t="s">
        <v>130</v>
      </c>
      <c r="D27" t="s">
        <v>132</v>
      </c>
    </row>
    <row r="28" spans="1:4" x14ac:dyDescent="0.3">
      <c r="A28" t="s">
        <v>323</v>
      </c>
      <c r="B28" t="s">
        <v>324</v>
      </c>
      <c r="C28" t="s">
        <v>115</v>
      </c>
      <c r="D28" t="s">
        <v>117</v>
      </c>
    </row>
    <row r="29" spans="1:4" x14ac:dyDescent="0.3">
      <c r="A29" t="s">
        <v>325</v>
      </c>
      <c r="B29" t="s">
        <v>324</v>
      </c>
      <c r="C29" t="s">
        <v>133</v>
      </c>
      <c r="D29" t="s">
        <v>135</v>
      </c>
    </row>
    <row r="30" spans="1:4" x14ac:dyDescent="0.3">
      <c r="A30" t="s">
        <v>326</v>
      </c>
      <c r="B30" t="s">
        <v>327</v>
      </c>
      <c r="C30" t="s">
        <v>118</v>
      </c>
      <c r="D30" t="s">
        <v>120</v>
      </c>
    </row>
    <row r="31" spans="1:4" x14ac:dyDescent="0.3">
      <c r="A31" t="s">
        <v>328</v>
      </c>
      <c r="B31" t="s">
        <v>327</v>
      </c>
      <c r="C31" t="s">
        <v>121</v>
      </c>
      <c r="D31" t="s">
        <v>123</v>
      </c>
    </row>
    <row r="32" spans="1:4" x14ac:dyDescent="0.3">
      <c r="A32" t="s">
        <v>329</v>
      </c>
      <c r="B32" t="s">
        <v>330</v>
      </c>
      <c r="C32" t="s">
        <v>112</v>
      </c>
      <c r="D32" t="s">
        <v>114</v>
      </c>
    </row>
    <row r="33" spans="1:4" x14ac:dyDescent="0.3">
      <c r="A33" t="s">
        <v>331</v>
      </c>
      <c r="B33" t="s">
        <v>330</v>
      </c>
      <c r="C33" t="s">
        <v>118</v>
      </c>
      <c r="D33" t="s">
        <v>120</v>
      </c>
    </row>
    <row r="34" spans="1:4" x14ac:dyDescent="0.3">
      <c r="A34" t="s">
        <v>332</v>
      </c>
      <c r="B34" t="s">
        <v>333</v>
      </c>
      <c r="C34" t="s">
        <v>115</v>
      </c>
      <c r="D34" t="s">
        <v>117</v>
      </c>
    </row>
    <row r="35" spans="1:4" x14ac:dyDescent="0.3">
      <c r="A35" t="s">
        <v>334</v>
      </c>
      <c r="B35" t="s">
        <v>333</v>
      </c>
      <c r="C35" t="s">
        <v>121</v>
      </c>
      <c r="D35" t="s">
        <v>123</v>
      </c>
    </row>
    <row r="36" spans="1:4" x14ac:dyDescent="0.3">
      <c r="A36" t="s">
        <v>335</v>
      </c>
      <c r="B36" t="s">
        <v>336</v>
      </c>
      <c r="C36" t="s">
        <v>139</v>
      </c>
      <c r="D36" t="s">
        <v>141</v>
      </c>
    </row>
    <row r="37" spans="1:4" x14ac:dyDescent="0.3">
      <c r="A37" t="s">
        <v>337</v>
      </c>
      <c r="B37" t="s">
        <v>336</v>
      </c>
      <c r="C37" t="s">
        <v>130</v>
      </c>
      <c r="D37" t="s">
        <v>132</v>
      </c>
    </row>
    <row r="38" spans="1:4" x14ac:dyDescent="0.3">
      <c r="A38" t="s">
        <v>338</v>
      </c>
      <c r="B38" t="s">
        <v>336</v>
      </c>
      <c r="C38" t="s">
        <v>127</v>
      </c>
      <c r="D38" t="s">
        <v>129</v>
      </c>
    </row>
    <row r="39" spans="1:4" x14ac:dyDescent="0.3">
      <c r="A39" t="s">
        <v>339</v>
      </c>
      <c r="B39" t="s">
        <v>340</v>
      </c>
      <c r="C39" t="s">
        <v>136</v>
      </c>
      <c r="D39" t="s">
        <v>138</v>
      </c>
    </row>
    <row r="40" spans="1:4" x14ac:dyDescent="0.3">
      <c r="A40" t="s">
        <v>341</v>
      </c>
      <c r="B40" t="s">
        <v>340</v>
      </c>
      <c r="C40" t="s">
        <v>118</v>
      </c>
      <c r="D40" t="s">
        <v>120</v>
      </c>
    </row>
    <row r="41" spans="1:4" x14ac:dyDescent="0.3">
      <c r="A41" t="s">
        <v>342</v>
      </c>
      <c r="B41" t="s">
        <v>343</v>
      </c>
      <c r="C41" t="s">
        <v>115</v>
      </c>
      <c r="D41" t="s">
        <v>117</v>
      </c>
    </row>
    <row r="42" spans="1:4" x14ac:dyDescent="0.3">
      <c r="A42" t="s">
        <v>344</v>
      </c>
      <c r="B42" t="s">
        <v>343</v>
      </c>
      <c r="C42" t="s">
        <v>121</v>
      </c>
      <c r="D42" t="s">
        <v>123</v>
      </c>
    </row>
    <row r="43" spans="1:4" x14ac:dyDescent="0.3">
      <c r="A43" t="s">
        <v>345</v>
      </c>
      <c r="B43" t="s">
        <v>343</v>
      </c>
      <c r="C43" t="s">
        <v>124</v>
      </c>
      <c r="D43" t="s">
        <v>126</v>
      </c>
    </row>
    <row r="44" spans="1:4" x14ac:dyDescent="0.3">
      <c r="A44" t="s">
        <v>346</v>
      </c>
      <c r="B44" t="s">
        <v>347</v>
      </c>
      <c r="C44" t="s">
        <v>112</v>
      </c>
      <c r="D44" t="s">
        <v>114</v>
      </c>
    </row>
    <row r="45" spans="1:4" x14ac:dyDescent="0.3">
      <c r="A45" t="s">
        <v>348</v>
      </c>
      <c r="B45" t="s">
        <v>347</v>
      </c>
      <c r="C45" t="s">
        <v>118</v>
      </c>
      <c r="D45" t="s">
        <v>120</v>
      </c>
    </row>
    <row r="46" spans="1:4" x14ac:dyDescent="0.3">
      <c r="A46" t="s">
        <v>349</v>
      </c>
      <c r="B46" t="s">
        <v>347</v>
      </c>
      <c r="C46" t="s">
        <v>127</v>
      </c>
      <c r="D46" t="s">
        <v>129</v>
      </c>
    </row>
    <row r="47" spans="1:4" x14ac:dyDescent="0.3">
      <c r="A47" t="s">
        <v>350</v>
      </c>
      <c r="B47" t="s">
        <v>351</v>
      </c>
      <c r="C47" t="s">
        <v>118</v>
      </c>
      <c r="D47" t="s">
        <v>120</v>
      </c>
    </row>
    <row r="48" spans="1:4" x14ac:dyDescent="0.3">
      <c r="A48" t="s">
        <v>352</v>
      </c>
      <c r="B48" t="s">
        <v>351</v>
      </c>
      <c r="C48" t="s">
        <v>121</v>
      </c>
      <c r="D48" t="s">
        <v>123</v>
      </c>
    </row>
    <row r="49" spans="1:4" x14ac:dyDescent="0.3">
      <c r="A49" t="s">
        <v>353</v>
      </c>
      <c r="B49" t="s">
        <v>354</v>
      </c>
      <c r="C49" t="s">
        <v>112</v>
      </c>
      <c r="D49" t="s">
        <v>114</v>
      </c>
    </row>
    <row r="50" spans="1:4" x14ac:dyDescent="0.3">
      <c r="A50" t="s">
        <v>355</v>
      </c>
      <c r="B50" t="s">
        <v>354</v>
      </c>
      <c r="C50" t="s">
        <v>118</v>
      </c>
      <c r="D50" t="s">
        <v>120</v>
      </c>
    </row>
    <row r="51" spans="1:4" x14ac:dyDescent="0.3">
      <c r="A51" t="s">
        <v>356</v>
      </c>
      <c r="B51" t="s">
        <v>357</v>
      </c>
      <c r="C51" t="s">
        <v>139</v>
      </c>
      <c r="D51" t="s">
        <v>141</v>
      </c>
    </row>
    <row r="52" spans="1:4" x14ac:dyDescent="0.3">
      <c r="A52" t="s">
        <v>358</v>
      </c>
      <c r="B52" t="s">
        <v>357</v>
      </c>
      <c r="C52" t="s">
        <v>130</v>
      </c>
      <c r="D52" t="s">
        <v>132</v>
      </c>
    </row>
    <row r="53" spans="1:4" x14ac:dyDescent="0.3">
      <c r="A53" t="s">
        <v>359</v>
      </c>
      <c r="B53" t="s">
        <v>357</v>
      </c>
      <c r="C53" t="s">
        <v>127</v>
      </c>
      <c r="D53" t="s">
        <v>129</v>
      </c>
    </row>
    <row r="54" spans="1:4" x14ac:dyDescent="0.3">
      <c r="A54" t="s">
        <v>360</v>
      </c>
      <c r="B54" t="s">
        <v>361</v>
      </c>
      <c r="C54" t="s">
        <v>118</v>
      </c>
      <c r="D54" t="s">
        <v>120</v>
      </c>
    </row>
    <row r="55" spans="1:4" x14ac:dyDescent="0.3">
      <c r="A55" t="s">
        <v>362</v>
      </c>
      <c r="B55" t="s">
        <v>361</v>
      </c>
      <c r="C55" t="s">
        <v>121</v>
      </c>
      <c r="D55" t="s">
        <v>123</v>
      </c>
    </row>
    <row r="56" spans="1:4" x14ac:dyDescent="0.3">
      <c r="A56" t="s">
        <v>363</v>
      </c>
      <c r="B56" t="s">
        <v>361</v>
      </c>
      <c r="C56" t="s">
        <v>136</v>
      </c>
      <c r="D56" t="s">
        <v>138</v>
      </c>
    </row>
    <row r="57" spans="1:4" x14ac:dyDescent="0.3">
      <c r="A57" t="s">
        <v>364</v>
      </c>
      <c r="B57" t="s">
        <v>365</v>
      </c>
      <c r="C57" t="s">
        <v>136</v>
      </c>
      <c r="D57" t="s">
        <v>138</v>
      </c>
    </row>
    <row r="58" spans="1:4" x14ac:dyDescent="0.3">
      <c r="A58" t="s">
        <v>366</v>
      </c>
      <c r="B58" t="s">
        <v>365</v>
      </c>
      <c r="C58" t="s">
        <v>118</v>
      </c>
      <c r="D58" t="s">
        <v>120</v>
      </c>
    </row>
    <row r="59" spans="1:4" x14ac:dyDescent="0.3">
      <c r="A59" t="s">
        <v>367</v>
      </c>
      <c r="B59" t="s">
        <v>365</v>
      </c>
      <c r="C59" t="s">
        <v>133</v>
      </c>
      <c r="D59" t="s">
        <v>135</v>
      </c>
    </row>
    <row r="60" spans="1:4" x14ac:dyDescent="0.3">
      <c r="A60" t="s">
        <v>368</v>
      </c>
      <c r="B60" t="s">
        <v>369</v>
      </c>
      <c r="C60" t="s">
        <v>112</v>
      </c>
      <c r="D60" t="s">
        <v>114</v>
      </c>
    </row>
    <row r="61" spans="1:4" x14ac:dyDescent="0.3">
      <c r="A61" t="s">
        <v>370</v>
      </c>
      <c r="B61" t="s">
        <v>369</v>
      </c>
      <c r="C61" t="s">
        <v>118</v>
      </c>
      <c r="D61" t="s">
        <v>120</v>
      </c>
    </row>
    <row r="62" spans="1:4" x14ac:dyDescent="0.3">
      <c r="A62" t="s">
        <v>371</v>
      </c>
      <c r="B62" t="s">
        <v>372</v>
      </c>
      <c r="C62" t="s">
        <v>136</v>
      </c>
      <c r="D62" t="s">
        <v>138</v>
      </c>
    </row>
    <row r="63" spans="1:4" x14ac:dyDescent="0.3">
      <c r="A63" t="s">
        <v>373</v>
      </c>
      <c r="B63" t="s">
        <v>372</v>
      </c>
      <c r="C63" t="s">
        <v>118</v>
      </c>
      <c r="D63" t="s">
        <v>120</v>
      </c>
    </row>
    <row r="64" spans="1:4" x14ac:dyDescent="0.3">
      <c r="A64" t="s">
        <v>374</v>
      </c>
      <c r="B64" t="s">
        <v>375</v>
      </c>
      <c r="C64" t="s">
        <v>112</v>
      </c>
      <c r="D64" t="s">
        <v>114</v>
      </c>
    </row>
    <row r="65" spans="1:4" x14ac:dyDescent="0.3">
      <c r="A65" t="s">
        <v>376</v>
      </c>
      <c r="B65" t="s">
        <v>375</v>
      </c>
      <c r="C65" t="s">
        <v>124</v>
      </c>
      <c r="D65" t="s">
        <v>126</v>
      </c>
    </row>
    <row r="66" spans="1:4" x14ac:dyDescent="0.3">
      <c r="A66" t="s">
        <v>377</v>
      </c>
      <c r="B66" t="s">
        <v>375</v>
      </c>
      <c r="C66" t="s">
        <v>130</v>
      </c>
      <c r="D66" t="s">
        <v>132</v>
      </c>
    </row>
    <row r="67" spans="1:4" x14ac:dyDescent="0.3">
      <c r="A67" t="s">
        <v>378</v>
      </c>
      <c r="B67" t="s">
        <v>379</v>
      </c>
      <c r="C67" t="s">
        <v>136</v>
      </c>
      <c r="D67" t="s">
        <v>138</v>
      </c>
    </row>
    <row r="68" spans="1:4" x14ac:dyDescent="0.3">
      <c r="A68" t="s">
        <v>380</v>
      </c>
      <c r="B68" t="s">
        <v>379</v>
      </c>
      <c r="C68" t="s">
        <v>118</v>
      </c>
      <c r="D68" t="s">
        <v>120</v>
      </c>
    </row>
    <row r="69" spans="1:4" x14ac:dyDescent="0.3">
      <c r="A69" t="s">
        <v>381</v>
      </c>
      <c r="B69" t="s">
        <v>382</v>
      </c>
      <c r="C69" t="s">
        <v>112</v>
      </c>
      <c r="D69" t="s">
        <v>114</v>
      </c>
    </row>
    <row r="70" spans="1:4" x14ac:dyDescent="0.3">
      <c r="A70" t="s">
        <v>383</v>
      </c>
      <c r="B70" t="s">
        <v>382</v>
      </c>
      <c r="C70" t="s">
        <v>124</v>
      </c>
      <c r="D70" t="s">
        <v>126</v>
      </c>
    </row>
    <row r="71" spans="1:4" x14ac:dyDescent="0.3">
      <c r="A71" t="s">
        <v>384</v>
      </c>
      <c r="B71" t="s">
        <v>385</v>
      </c>
      <c r="C71" t="s">
        <v>115</v>
      </c>
      <c r="D71" t="s">
        <v>117</v>
      </c>
    </row>
    <row r="72" spans="1:4" x14ac:dyDescent="0.3">
      <c r="A72" t="s">
        <v>386</v>
      </c>
      <c r="B72" t="s">
        <v>385</v>
      </c>
      <c r="C72" t="s">
        <v>121</v>
      </c>
      <c r="D72" t="s">
        <v>123</v>
      </c>
    </row>
    <row r="73" spans="1:4" x14ac:dyDescent="0.3">
      <c r="A73" t="s">
        <v>387</v>
      </c>
      <c r="B73" t="s">
        <v>385</v>
      </c>
      <c r="C73" t="s">
        <v>124</v>
      </c>
      <c r="D73" t="s">
        <v>126</v>
      </c>
    </row>
    <row r="74" spans="1:4" x14ac:dyDescent="0.3">
      <c r="A74" t="s">
        <v>388</v>
      </c>
      <c r="B74" t="s">
        <v>389</v>
      </c>
      <c r="C74" t="s">
        <v>112</v>
      </c>
      <c r="D74" t="s">
        <v>114</v>
      </c>
    </row>
    <row r="75" spans="1:4" x14ac:dyDescent="0.3">
      <c r="A75" t="s">
        <v>390</v>
      </c>
      <c r="B75" t="s">
        <v>389</v>
      </c>
      <c r="C75" t="s">
        <v>118</v>
      </c>
      <c r="D75" t="s">
        <v>120</v>
      </c>
    </row>
    <row r="76" spans="1:4" x14ac:dyDescent="0.3">
      <c r="A76" t="s">
        <v>391</v>
      </c>
      <c r="B76" t="s">
        <v>392</v>
      </c>
      <c r="C76" t="s">
        <v>118</v>
      </c>
      <c r="D76" t="s">
        <v>120</v>
      </c>
    </row>
    <row r="77" spans="1:4" x14ac:dyDescent="0.3">
      <c r="A77" t="s">
        <v>393</v>
      </c>
      <c r="B77" t="s">
        <v>392</v>
      </c>
      <c r="C77" t="s">
        <v>121</v>
      </c>
      <c r="D77" t="s">
        <v>123</v>
      </c>
    </row>
    <row r="78" spans="1:4" x14ac:dyDescent="0.3">
      <c r="A78" t="s">
        <v>394</v>
      </c>
      <c r="B78" t="s">
        <v>392</v>
      </c>
      <c r="C78" t="s">
        <v>136</v>
      </c>
      <c r="D78" t="s">
        <v>138</v>
      </c>
    </row>
    <row r="79" spans="1:4" x14ac:dyDescent="0.3">
      <c r="A79" t="s">
        <v>395</v>
      </c>
      <c r="B79" t="s">
        <v>396</v>
      </c>
      <c r="C79" t="s">
        <v>112</v>
      </c>
      <c r="D79" t="s">
        <v>114</v>
      </c>
    </row>
    <row r="80" spans="1:4" x14ac:dyDescent="0.3">
      <c r="A80" t="s">
        <v>397</v>
      </c>
      <c r="B80" t="s">
        <v>396</v>
      </c>
      <c r="C80" t="s">
        <v>124</v>
      </c>
      <c r="D80" t="s">
        <v>126</v>
      </c>
    </row>
    <row r="81" spans="1:4" x14ac:dyDescent="0.3">
      <c r="A81" t="s">
        <v>398</v>
      </c>
      <c r="B81" t="s">
        <v>396</v>
      </c>
      <c r="C81" t="s">
        <v>130</v>
      </c>
      <c r="D81" t="s">
        <v>132</v>
      </c>
    </row>
    <row r="82" spans="1:4" x14ac:dyDescent="0.3">
      <c r="A82" t="s">
        <v>399</v>
      </c>
      <c r="B82" t="s">
        <v>400</v>
      </c>
      <c r="C82" t="s">
        <v>112</v>
      </c>
      <c r="D82" t="s">
        <v>114</v>
      </c>
    </row>
    <row r="83" spans="1:4" x14ac:dyDescent="0.3">
      <c r="A83" t="s">
        <v>401</v>
      </c>
      <c r="B83" t="s">
        <v>400</v>
      </c>
      <c r="C83" t="s">
        <v>118</v>
      </c>
      <c r="D83" t="s">
        <v>120</v>
      </c>
    </row>
    <row r="84" spans="1:4" x14ac:dyDescent="0.3">
      <c r="A84" t="s">
        <v>402</v>
      </c>
      <c r="B84" t="s">
        <v>400</v>
      </c>
      <c r="C84" t="s">
        <v>127</v>
      </c>
      <c r="D84" t="s">
        <v>129</v>
      </c>
    </row>
    <row r="85" spans="1:4" x14ac:dyDescent="0.3">
      <c r="A85" t="s">
        <v>403</v>
      </c>
      <c r="B85" t="s">
        <v>404</v>
      </c>
      <c r="C85" t="s">
        <v>112</v>
      </c>
      <c r="D85" t="s">
        <v>114</v>
      </c>
    </row>
    <row r="86" spans="1:4" x14ac:dyDescent="0.3">
      <c r="A86" t="s">
        <v>405</v>
      </c>
      <c r="B86" t="s">
        <v>404</v>
      </c>
      <c r="C86" t="s">
        <v>124</v>
      </c>
      <c r="D86" t="s">
        <v>126</v>
      </c>
    </row>
    <row r="87" spans="1:4" x14ac:dyDescent="0.3">
      <c r="A87" t="s">
        <v>406</v>
      </c>
      <c r="B87" t="s">
        <v>407</v>
      </c>
      <c r="C87" t="s">
        <v>139</v>
      </c>
      <c r="D87" t="s">
        <v>141</v>
      </c>
    </row>
    <row r="88" spans="1:4" x14ac:dyDescent="0.3">
      <c r="A88" t="s">
        <v>408</v>
      </c>
      <c r="B88" t="s">
        <v>407</v>
      </c>
      <c r="C88" t="s">
        <v>130</v>
      </c>
      <c r="D88" t="s">
        <v>132</v>
      </c>
    </row>
    <row r="89" spans="1:4" x14ac:dyDescent="0.3">
      <c r="A89" t="s">
        <v>409</v>
      </c>
      <c r="B89" t="s">
        <v>407</v>
      </c>
      <c r="C89" t="s">
        <v>127</v>
      </c>
      <c r="D89" t="s">
        <v>129</v>
      </c>
    </row>
    <row r="90" spans="1:4" x14ac:dyDescent="0.3">
      <c r="A90" t="s">
        <v>410</v>
      </c>
      <c r="B90" t="s">
        <v>411</v>
      </c>
      <c r="C90" t="s">
        <v>118</v>
      </c>
      <c r="D90" t="s">
        <v>120</v>
      </c>
    </row>
    <row r="91" spans="1:4" x14ac:dyDescent="0.3">
      <c r="A91" t="s">
        <v>412</v>
      </c>
      <c r="B91" t="s">
        <v>411</v>
      </c>
      <c r="C91" t="s">
        <v>121</v>
      </c>
      <c r="D91" t="s">
        <v>123</v>
      </c>
    </row>
    <row r="92" spans="1:4" x14ac:dyDescent="0.3">
      <c r="A92" t="s">
        <v>413</v>
      </c>
      <c r="B92" t="s">
        <v>414</v>
      </c>
      <c r="C92" t="s">
        <v>112</v>
      </c>
      <c r="D92" t="s">
        <v>114</v>
      </c>
    </row>
    <row r="93" spans="1:4" x14ac:dyDescent="0.3">
      <c r="A93" t="s">
        <v>415</v>
      </c>
      <c r="B93" t="s">
        <v>414</v>
      </c>
      <c r="C93" t="s">
        <v>118</v>
      </c>
      <c r="D93" t="s">
        <v>120</v>
      </c>
    </row>
    <row r="94" spans="1:4" x14ac:dyDescent="0.3">
      <c r="A94" t="s">
        <v>416</v>
      </c>
      <c r="B94" t="s">
        <v>414</v>
      </c>
      <c r="C94" t="s">
        <v>124</v>
      </c>
      <c r="D94" t="s">
        <v>126</v>
      </c>
    </row>
    <row r="95" spans="1:4" x14ac:dyDescent="0.3">
      <c r="A95" t="s">
        <v>417</v>
      </c>
      <c r="B95" t="s">
        <v>418</v>
      </c>
      <c r="C95" t="s">
        <v>115</v>
      </c>
      <c r="D95" t="s">
        <v>117</v>
      </c>
    </row>
    <row r="96" spans="1:4" x14ac:dyDescent="0.3">
      <c r="A96" t="s">
        <v>419</v>
      </c>
      <c r="B96" t="s">
        <v>418</v>
      </c>
      <c r="C96" t="s">
        <v>121</v>
      </c>
      <c r="D96" t="s">
        <v>123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1"/>
  <sheetViews>
    <sheetView topLeftCell="K1" zoomScaleNormal="100" workbookViewId="0">
      <pane ySplit="1" topLeftCell="A2" activePane="bottomLeft" state="frozen"/>
      <selection activeCell="K1" sqref="K1"/>
      <selection pane="bottomLeft" activeCell="U4" sqref="U4"/>
    </sheetView>
  </sheetViews>
  <sheetFormatPr baseColWidth="10" defaultColWidth="8.88671875" defaultRowHeight="14.4" x14ac:dyDescent="0.3"/>
  <cols>
    <col min="1" max="1" width="13.77734375" customWidth="1"/>
    <col min="2" max="2" width="15.109375" customWidth="1"/>
    <col min="3" max="3" width="17.6640625" customWidth="1"/>
    <col min="4" max="4" width="15.44140625" customWidth="1"/>
    <col min="5" max="5" width="21.109375" customWidth="1"/>
    <col min="6" max="6" width="13.5546875" customWidth="1"/>
    <col min="7" max="7" width="14" customWidth="1"/>
    <col min="8" max="8" width="11.21875" customWidth="1"/>
    <col min="9" max="9" width="22" customWidth="1"/>
    <col min="10" max="10" width="16" customWidth="1"/>
    <col min="11" max="11" width="14" customWidth="1"/>
    <col min="12" max="12" width="18.109375" customWidth="1"/>
    <col min="13" max="13" width="13.44140625" customWidth="1"/>
    <col min="14" max="14" width="20.21875" customWidth="1"/>
    <col min="15" max="15" width="15.109375" customWidth="1"/>
    <col min="16" max="16" width="14" customWidth="1"/>
    <col min="17" max="17" width="14.109375" customWidth="1"/>
    <col min="18" max="18" width="15.5546875" customWidth="1"/>
    <col min="19" max="19" width="19.77734375" customWidth="1"/>
    <col min="20" max="20" width="21.21875" customWidth="1"/>
    <col min="21" max="21" width="28" customWidth="1"/>
    <col min="22" max="22" width="10" customWidth="1"/>
  </cols>
  <sheetData>
    <row r="1" spans="1:22" ht="21.75" customHeight="1" x14ac:dyDescent="0.3">
      <c r="A1" s="1" t="s">
        <v>420</v>
      </c>
      <c r="B1" s="2" t="s">
        <v>421</v>
      </c>
      <c r="C1" s="2" t="s">
        <v>422</v>
      </c>
      <c r="D1" s="2" t="s">
        <v>423</v>
      </c>
      <c r="E1" s="2" t="s">
        <v>424</v>
      </c>
      <c r="F1" s="2" t="s">
        <v>283</v>
      </c>
      <c r="G1" s="2" t="s">
        <v>425</v>
      </c>
      <c r="H1" s="2" t="s">
        <v>144</v>
      </c>
      <c r="I1" s="2" t="s">
        <v>426</v>
      </c>
      <c r="J1" s="2" t="s">
        <v>427</v>
      </c>
      <c r="K1" s="2" t="s">
        <v>428</v>
      </c>
      <c r="L1" s="2" t="s">
        <v>429</v>
      </c>
      <c r="M1" s="2" t="s">
        <v>430</v>
      </c>
      <c r="N1" s="2" t="s">
        <v>431</v>
      </c>
      <c r="O1" s="2" t="s">
        <v>432</v>
      </c>
      <c r="P1" s="2" t="s">
        <v>433</v>
      </c>
      <c r="Q1" s="2" t="s">
        <v>434</v>
      </c>
      <c r="R1" s="2" t="s">
        <v>435</v>
      </c>
      <c r="S1" s="2" t="s">
        <v>436</v>
      </c>
      <c r="T1" s="2" t="s">
        <v>437</v>
      </c>
      <c r="U1" s="2" t="s">
        <v>438</v>
      </c>
      <c r="V1" s="3" t="s">
        <v>439</v>
      </c>
    </row>
    <row r="2" spans="1:22" x14ac:dyDescent="0.3">
      <c r="A2" s="4" t="s">
        <v>440</v>
      </c>
      <c r="B2" s="5" t="s">
        <v>67</v>
      </c>
      <c r="C2" s="5" t="s">
        <v>136</v>
      </c>
      <c r="D2" s="5" t="s">
        <v>149</v>
      </c>
      <c r="E2" s="5" t="s">
        <v>258</v>
      </c>
      <c r="F2" s="5" t="s">
        <v>286</v>
      </c>
      <c r="G2" s="16">
        <v>46073</v>
      </c>
      <c r="H2" s="5">
        <v>1</v>
      </c>
      <c r="I2" s="5" t="s">
        <v>441</v>
      </c>
      <c r="J2" s="5" t="s">
        <v>442</v>
      </c>
      <c r="K2" s="5" t="s">
        <v>443</v>
      </c>
      <c r="L2" s="5">
        <v>31</v>
      </c>
      <c r="M2" s="5">
        <v>37</v>
      </c>
      <c r="N2" s="5" t="s">
        <v>9</v>
      </c>
      <c r="O2" s="5">
        <v>2191000</v>
      </c>
      <c r="P2" s="5">
        <v>1623000</v>
      </c>
      <c r="Q2" s="5">
        <v>568000</v>
      </c>
      <c r="R2" s="5">
        <v>9</v>
      </c>
      <c r="S2" s="5">
        <v>80.599999999999994</v>
      </c>
      <c r="T2" s="5">
        <v>71.7</v>
      </c>
      <c r="U2" s="5" t="s">
        <v>444</v>
      </c>
      <c r="V2" s="6" t="s">
        <v>445</v>
      </c>
    </row>
    <row r="3" spans="1:22" x14ac:dyDescent="0.3">
      <c r="A3" s="7" t="s">
        <v>446</v>
      </c>
      <c r="B3" s="8" t="s">
        <v>65</v>
      </c>
      <c r="C3" s="8" t="s">
        <v>112</v>
      </c>
      <c r="D3" s="8" t="s">
        <v>149</v>
      </c>
      <c r="E3" s="8" t="s">
        <v>258</v>
      </c>
      <c r="F3" s="8" t="s">
        <v>289</v>
      </c>
      <c r="G3" s="17">
        <v>46072</v>
      </c>
      <c r="H3" s="8">
        <v>1</v>
      </c>
      <c r="I3" s="8" t="s">
        <v>447</v>
      </c>
      <c r="J3" s="8" t="s">
        <v>448</v>
      </c>
      <c r="K3" s="8" t="s">
        <v>449</v>
      </c>
      <c r="L3" s="8">
        <v>36</v>
      </c>
      <c r="M3" s="8">
        <v>38</v>
      </c>
      <c r="N3" s="8" t="s">
        <v>9</v>
      </c>
      <c r="O3" s="8">
        <v>2389000</v>
      </c>
      <c r="P3" s="8">
        <v>1697000</v>
      </c>
      <c r="Q3" s="8">
        <v>692000</v>
      </c>
      <c r="R3" s="8">
        <v>7</v>
      </c>
      <c r="S3" s="8">
        <v>114.2</v>
      </c>
      <c r="T3" s="8">
        <v>102.1</v>
      </c>
      <c r="U3" s="8" t="s">
        <v>240</v>
      </c>
      <c r="V3" s="9" t="s">
        <v>445</v>
      </c>
    </row>
    <row r="4" spans="1:22" x14ac:dyDescent="0.3">
      <c r="A4" s="4" t="s">
        <v>450</v>
      </c>
      <c r="B4" s="5" t="s">
        <v>27</v>
      </c>
      <c r="C4" s="5" t="s">
        <v>118</v>
      </c>
      <c r="D4" s="5" t="s">
        <v>149</v>
      </c>
      <c r="E4" s="5" t="s">
        <v>258</v>
      </c>
      <c r="F4" s="5" t="s">
        <v>292</v>
      </c>
      <c r="G4" s="16">
        <v>46043</v>
      </c>
      <c r="H4" s="5">
        <v>1</v>
      </c>
      <c r="I4" s="5" t="s">
        <v>451</v>
      </c>
      <c r="J4" s="5" t="s">
        <v>442</v>
      </c>
      <c r="K4" s="5" t="s">
        <v>443</v>
      </c>
      <c r="L4" s="5">
        <v>18</v>
      </c>
      <c r="M4" s="5">
        <v>18</v>
      </c>
      <c r="N4" s="5" t="s">
        <v>9</v>
      </c>
      <c r="O4" s="5">
        <v>3084000</v>
      </c>
      <c r="P4" s="5">
        <v>2070000</v>
      </c>
      <c r="Q4" s="5">
        <v>1014000</v>
      </c>
      <c r="R4" s="5">
        <v>9</v>
      </c>
      <c r="S4" s="5">
        <v>86.9</v>
      </c>
      <c r="T4" s="5">
        <v>78.099999999999994</v>
      </c>
      <c r="U4" s="5" t="s">
        <v>444</v>
      </c>
      <c r="V4" s="6" t="s">
        <v>445</v>
      </c>
    </row>
    <row r="5" spans="1:22" x14ac:dyDescent="0.3">
      <c r="A5" s="7" t="s">
        <v>452</v>
      </c>
      <c r="B5" s="8" t="s">
        <v>51</v>
      </c>
      <c r="C5" s="8" t="s">
        <v>115</v>
      </c>
      <c r="D5" s="8" t="s">
        <v>149</v>
      </c>
      <c r="E5" s="8" t="s">
        <v>258</v>
      </c>
      <c r="F5" s="8" t="s">
        <v>296</v>
      </c>
      <c r="G5" s="17">
        <v>46094</v>
      </c>
      <c r="H5" s="8">
        <v>1</v>
      </c>
      <c r="I5" s="8" t="s">
        <v>453</v>
      </c>
      <c r="J5" s="8" t="s">
        <v>454</v>
      </c>
      <c r="K5" s="8" t="s">
        <v>449</v>
      </c>
      <c r="L5" s="8">
        <v>43</v>
      </c>
      <c r="M5" s="8">
        <v>44</v>
      </c>
      <c r="N5" s="8" t="s">
        <v>9</v>
      </c>
      <c r="O5" s="8">
        <v>4029000</v>
      </c>
      <c r="P5" s="8">
        <v>3148000</v>
      </c>
      <c r="Q5" s="8">
        <v>881000</v>
      </c>
      <c r="R5" s="8">
        <v>8</v>
      </c>
      <c r="S5" s="8">
        <v>117.9</v>
      </c>
      <c r="T5" s="8">
        <v>106.2</v>
      </c>
      <c r="U5" s="8" t="s">
        <v>444</v>
      </c>
      <c r="V5" s="9" t="s">
        <v>445</v>
      </c>
    </row>
    <row r="6" spans="1:22" x14ac:dyDescent="0.3">
      <c r="A6" s="4" t="s">
        <v>455</v>
      </c>
      <c r="B6" s="5" t="s">
        <v>31</v>
      </c>
      <c r="C6" s="5" t="s">
        <v>118</v>
      </c>
      <c r="D6" s="5" t="s">
        <v>149</v>
      </c>
      <c r="E6" s="5" t="s">
        <v>258</v>
      </c>
      <c r="F6" s="5" t="s">
        <v>299</v>
      </c>
      <c r="G6" s="16">
        <v>46062</v>
      </c>
      <c r="H6" s="5">
        <v>1</v>
      </c>
      <c r="I6" s="5" t="s">
        <v>451</v>
      </c>
      <c r="J6" s="5" t="s">
        <v>442</v>
      </c>
      <c r="K6" s="5" t="s">
        <v>443</v>
      </c>
      <c r="L6" s="5">
        <v>30</v>
      </c>
      <c r="M6" s="5">
        <v>30</v>
      </c>
      <c r="N6" s="5" t="s">
        <v>9</v>
      </c>
      <c r="O6" s="5">
        <v>2632000</v>
      </c>
      <c r="P6" s="5">
        <v>2087000</v>
      </c>
      <c r="Q6" s="5">
        <v>545000</v>
      </c>
      <c r="R6" s="5">
        <v>10</v>
      </c>
      <c r="S6" s="5">
        <v>87.4</v>
      </c>
      <c r="T6" s="5">
        <v>80.7</v>
      </c>
      <c r="U6" s="5" t="s">
        <v>444</v>
      </c>
      <c r="V6" s="6" t="s">
        <v>445</v>
      </c>
    </row>
    <row r="7" spans="1:22" x14ac:dyDescent="0.3">
      <c r="A7" s="7" t="s">
        <v>456</v>
      </c>
      <c r="B7" s="8" t="s">
        <v>79</v>
      </c>
      <c r="C7" s="8" t="s">
        <v>112</v>
      </c>
      <c r="D7" s="8" t="s">
        <v>149</v>
      </c>
      <c r="E7" s="8" t="s">
        <v>258</v>
      </c>
      <c r="F7" s="8" t="s">
        <v>302</v>
      </c>
      <c r="G7" s="17">
        <v>46078</v>
      </c>
      <c r="H7" s="8">
        <v>1</v>
      </c>
      <c r="I7" s="8" t="s">
        <v>447</v>
      </c>
      <c r="J7" s="8" t="s">
        <v>448</v>
      </c>
      <c r="K7" s="8" t="s">
        <v>449</v>
      </c>
      <c r="L7" s="8">
        <v>58</v>
      </c>
      <c r="M7" s="8">
        <v>58</v>
      </c>
      <c r="N7" s="8" t="s">
        <v>9</v>
      </c>
      <c r="O7" s="8">
        <v>2185000</v>
      </c>
      <c r="P7" s="8">
        <v>1701000</v>
      </c>
      <c r="Q7" s="8">
        <v>484000</v>
      </c>
      <c r="R7" s="8">
        <v>8</v>
      </c>
      <c r="S7" s="8">
        <v>86.8</v>
      </c>
      <c r="T7" s="8">
        <v>85</v>
      </c>
      <c r="U7" s="8" t="s">
        <v>444</v>
      </c>
      <c r="V7" s="9" t="s">
        <v>445</v>
      </c>
    </row>
    <row r="8" spans="1:22" x14ac:dyDescent="0.3">
      <c r="A8" s="4" t="s">
        <v>457</v>
      </c>
      <c r="B8" s="5" t="s">
        <v>17</v>
      </c>
      <c r="C8" s="5" t="s">
        <v>112</v>
      </c>
      <c r="D8" s="5" t="s">
        <v>149</v>
      </c>
      <c r="E8" s="5" t="s">
        <v>258</v>
      </c>
      <c r="F8" s="5" t="s">
        <v>305</v>
      </c>
      <c r="G8" s="16">
        <v>46095</v>
      </c>
      <c r="H8" s="5">
        <v>1</v>
      </c>
      <c r="I8" s="5" t="s">
        <v>458</v>
      </c>
      <c r="J8" s="5" t="s">
        <v>459</v>
      </c>
      <c r="K8" s="5" t="s">
        <v>443</v>
      </c>
      <c r="L8" s="5">
        <v>42</v>
      </c>
      <c r="M8" s="5">
        <v>42</v>
      </c>
      <c r="N8" s="5" t="s">
        <v>9</v>
      </c>
      <c r="O8" s="5">
        <v>2782000</v>
      </c>
      <c r="P8" s="5">
        <v>1953000</v>
      </c>
      <c r="Q8" s="5">
        <v>829000</v>
      </c>
      <c r="R8" s="5">
        <v>9</v>
      </c>
      <c r="S8" s="5">
        <v>106.8</v>
      </c>
      <c r="T8" s="5">
        <v>102.4</v>
      </c>
      <c r="U8" s="5" t="s">
        <v>254</v>
      </c>
      <c r="V8" s="6" t="s">
        <v>445</v>
      </c>
    </row>
    <row r="9" spans="1:22" x14ac:dyDescent="0.3">
      <c r="A9" s="7" t="s">
        <v>460</v>
      </c>
      <c r="B9" s="8" t="s">
        <v>75</v>
      </c>
      <c r="C9" s="8" t="s">
        <v>112</v>
      </c>
      <c r="D9" s="8" t="s">
        <v>149</v>
      </c>
      <c r="E9" s="8" t="s">
        <v>258</v>
      </c>
      <c r="F9" s="8" t="s">
        <v>308</v>
      </c>
      <c r="G9" s="17">
        <v>46031</v>
      </c>
      <c r="H9" s="8">
        <v>1</v>
      </c>
      <c r="I9" s="8" t="s">
        <v>447</v>
      </c>
      <c r="J9" s="8" t="s">
        <v>448</v>
      </c>
      <c r="K9" s="8" t="s">
        <v>449</v>
      </c>
      <c r="L9" s="8">
        <v>54</v>
      </c>
      <c r="M9" s="8">
        <v>55</v>
      </c>
      <c r="N9" s="8" t="s">
        <v>8</v>
      </c>
      <c r="O9" s="8">
        <v>2030000</v>
      </c>
      <c r="P9" s="8">
        <v>1378000</v>
      </c>
      <c r="Q9" s="8">
        <v>652000</v>
      </c>
      <c r="R9" s="8">
        <v>10</v>
      </c>
      <c r="S9" s="8">
        <v>129.80000000000001</v>
      </c>
      <c r="T9" s="8">
        <v>117.7</v>
      </c>
      <c r="U9" s="8" t="s">
        <v>444</v>
      </c>
      <c r="V9" s="9" t="s">
        <v>445</v>
      </c>
    </row>
    <row r="10" spans="1:22" x14ac:dyDescent="0.3">
      <c r="A10" s="4" t="s">
        <v>461</v>
      </c>
      <c r="B10" s="5" t="s">
        <v>37</v>
      </c>
      <c r="C10" s="5" t="s">
        <v>115</v>
      </c>
      <c r="D10" s="5" t="s">
        <v>149</v>
      </c>
      <c r="E10" s="5" t="s">
        <v>258</v>
      </c>
      <c r="F10" s="5" t="s">
        <v>311</v>
      </c>
      <c r="G10" s="16">
        <v>46086</v>
      </c>
      <c r="H10" s="5">
        <v>1</v>
      </c>
      <c r="I10" s="5" t="s">
        <v>453</v>
      </c>
      <c r="J10" s="5" t="s">
        <v>454</v>
      </c>
      <c r="K10" s="5" t="s">
        <v>449</v>
      </c>
      <c r="L10" s="5">
        <v>47</v>
      </c>
      <c r="M10" s="5">
        <v>47</v>
      </c>
      <c r="N10" s="5" t="s">
        <v>9</v>
      </c>
      <c r="O10" s="5">
        <v>4015000</v>
      </c>
      <c r="P10" s="5">
        <v>3145000</v>
      </c>
      <c r="Q10" s="5">
        <v>870000</v>
      </c>
      <c r="R10" s="5">
        <v>7</v>
      </c>
      <c r="S10" s="5">
        <v>84.7</v>
      </c>
      <c r="T10" s="5">
        <v>69.900000000000006</v>
      </c>
      <c r="U10" s="5" t="s">
        <v>246</v>
      </c>
      <c r="V10" s="6" t="s">
        <v>445</v>
      </c>
    </row>
    <row r="11" spans="1:22" x14ac:dyDescent="0.3">
      <c r="A11" s="7" t="s">
        <v>462</v>
      </c>
      <c r="B11" s="8" t="s">
        <v>59</v>
      </c>
      <c r="C11" s="8" t="s">
        <v>136</v>
      </c>
      <c r="D11" s="8" t="s">
        <v>149</v>
      </c>
      <c r="E11" s="8" t="s">
        <v>258</v>
      </c>
      <c r="F11" s="8" t="s">
        <v>315</v>
      </c>
      <c r="G11" s="17">
        <v>46072</v>
      </c>
      <c r="H11" s="8">
        <v>1</v>
      </c>
      <c r="I11" s="8" t="s">
        <v>441</v>
      </c>
      <c r="J11" s="8" t="s">
        <v>442</v>
      </c>
      <c r="K11" s="8" t="s">
        <v>443</v>
      </c>
      <c r="L11" s="8">
        <v>40</v>
      </c>
      <c r="M11" s="8">
        <v>40</v>
      </c>
      <c r="N11" s="8" t="s">
        <v>9</v>
      </c>
      <c r="O11" s="8">
        <v>1900000</v>
      </c>
      <c r="P11" s="8">
        <v>1376000</v>
      </c>
      <c r="Q11" s="8">
        <v>524000</v>
      </c>
      <c r="R11" s="8">
        <v>10</v>
      </c>
      <c r="S11" s="8">
        <v>100.1</v>
      </c>
      <c r="T11" s="8">
        <v>90.9</v>
      </c>
      <c r="U11" s="8" t="s">
        <v>444</v>
      </c>
      <c r="V11" s="9" t="s">
        <v>445</v>
      </c>
    </row>
    <row r="12" spans="1:22" x14ac:dyDescent="0.3">
      <c r="A12" s="4" t="s">
        <v>463</v>
      </c>
      <c r="B12" s="5" t="s">
        <v>23</v>
      </c>
      <c r="C12" s="5" t="s">
        <v>112</v>
      </c>
      <c r="D12" s="5" t="s">
        <v>149</v>
      </c>
      <c r="E12" s="5" t="s">
        <v>258</v>
      </c>
      <c r="F12" s="5" t="s">
        <v>318</v>
      </c>
      <c r="G12" s="16">
        <v>46059</v>
      </c>
      <c r="H12" s="5">
        <v>1</v>
      </c>
      <c r="I12" s="5" t="s">
        <v>447</v>
      </c>
      <c r="J12" s="5" t="s">
        <v>448</v>
      </c>
      <c r="K12" s="5" t="s">
        <v>449</v>
      </c>
      <c r="L12" s="5">
        <v>37</v>
      </c>
      <c r="M12" s="5">
        <v>37</v>
      </c>
      <c r="N12" s="5" t="s">
        <v>9</v>
      </c>
      <c r="O12" s="5">
        <v>2497000</v>
      </c>
      <c r="P12" s="5">
        <v>1568000</v>
      </c>
      <c r="Q12" s="5">
        <v>929000</v>
      </c>
      <c r="R12" s="5">
        <v>9</v>
      </c>
      <c r="S12" s="5">
        <v>89.9</v>
      </c>
      <c r="T12" s="5">
        <v>84.4</v>
      </c>
      <c r="U12" s="5" t="s">
        <v>444</v>
      </c>
      <c r="V12" s="6" t="s">
        <v>445</v>
      </c>
    </row>
    <row r="13" spans="1:22" x14ac:dyDescent="0.3">
      <c r="A13" s="7" t="s">
        <v>464</v>
      </c>
      <c r="B13" s="8" t="s">
        <v>47</v>
      </c>
      <c r="C13" s="8" t="s">
        <v>139</v>
      </c>
      <c r="D13" s="8" t="s">
        <v>155</v>
      </c>
      <c r="E13" s="8" t="s">
        <v>258</v>
      </c>
      <c r="F13" s="8" t="s">
        <v>321</v>
      </c>
      <c r="G13" s="17">
        <v>46164</v>
      </c>
      <c r="H13" s="8">
        <v>2</v>
      </c>
      <c r="I13" s="8" t="s">
        <v>465</v>
      </c>
      <c r="J13" s="8" t="s">
        <v>459</v>
      </c>
      <c r="K13" s="8" t="s">
        <v>443</v>
      </c>
      <c r="L13" s="8">
        <v>17</v>
      </c>
      <c r="M13" s="8">
        <v>17</v>
      </c>
      <c r="N13" s="8" t="s">
        <v>9</v>
      </c>
      <c r="O13" s="8">
        <v>1480000</v>
      </c>
      <c r="P13" s="8">
        <v>896000</v>
      </c>
      <c r="Q13" s="8">
        <v>584000</v>
      </c>
      <c r="R13" s="8">
        <v>8</v>
      </c>
      <c r="S13" s="8">
        <v>127.8</v>
      </c>
      <c r="T13" s="8">
        <v>105.6</v>
      </c>
      <c r="U13" s="8" t="s">
        <v>444</v>
      </c>
      <c r="V13" s="9" t="s">
        <v>445</v>
      </c>
    </row>
    <row r="14" spans="1:22" x14ac:dyDescent="0.3">
      <c r="A14" s="4" t="s">
        <v>466</v>
      </c>
      <c r="B14" s="5" t="s">
        <v>43</v>
      </c>
      <c r="C14" s="5" t="s">
        <v>115</v>
      </c>
      <c r="D14" s="5" t="s">
        <v>155</v>
      </c>
      <c r="E14" s="5" t="s">
        <v>258</v>
      </c>
      <c r="F14" s="5" t="s">
        <v>324</v>
      </c>
      <c r="G14" s="16">
        <v>46126</v>
      </c>
      <c r="H14" s="5">
        <v>2</v>
      </c>
      <c r="I14" s="5" t="s">
        <v>467</v>
      </c>
      <c r="J14" s="5" t="s">
        <v>442</v>
      </c>
      <c r="K14" s="5" t="s">
        <v>443</v>
      </c>
      <c r="L14" s="5">
        <v>27</v>
      </c>
      <c r="M14" s="5">
        <v>29</v>
      </c>
      <c r="N14" s="5" t="s">
        <v>9</v>
      </c>
      <c r="O14" s="5">
        <v>3550000</v>
      </c>
      <c r="P14" s="5">
        <v>2480000</v>
      </c>
      <c r="Q14" s="5">
        <v>1070000</v>
      </c>
      <c r="R14" s="5">
        <v>9</v>
      </c>
      <c r="S14" s="5">
        <v>90.5</v>
      </c>
      <c r="T14" s="5">
        <v>76.900000000000006</v>
      </c>
      <c r="U14" s="5" t="s">
        <v>444</v>
      </c>
      <c r="V14" s="6" t="s">
        <v>445</v>
      </c>
    </row>
    <row r="15" spans="1:22" x14ac:dyDescent="0.3">
      <c r="A15" s="7" t="s">
        <v>468</v>
      </c>
      <c r="B15" s="8" t="s">
        <v>83</v>
      </c>
      <c r="C15" s="8" t="s">
        <v>118</v>
      </c>
      <c r="D15" s="8" t="s">
        <v>155</v>
      </c>
      <c r="E15" s="8" t="s">
        <v>258</v>
      </c>
      <c r="F15" s="8" t="s">
        <v>327</v>
      </c>
      <c r="G15" s="17">
        <v>46191</v>
      </c>
      <c r="H15" s="8">
        <v>2</v>
      </c>
      <c r="I15" s="8" t="s">
        <v>451</v>
      </c>
      <c r="J15" s="8" t="s">
        <v>442</v>
      </c>
      <c r="K15" s="8" t="s">
        <v>443</v>
      </c>
      <c r="L15" s="8">
        <v>38</v>
      </c>
      <c r="M15" s="8">
        <v>42</v>
      </c>
      <c r="N15" s="8" t="s">
        <v>9</v>
      </c>
      <c r="O15" s="8">
        <v>2997000</v>
      </c>
      <c r="P15" s="8">
        <v>1813000</v>
      </c>
      <c r="Q15" s="8">
        <v>1184000</v>
      </c>
      <c r="R15" s="8">
        <v>8</v>
      </c>
      <c r="S15" s="8">
        <v>107.4</v>
      </c>
      <c r="T15" s="8">
        <v>86.8</v>
      </c>
      <c r="U15" s="8" t="s">
        <v>444</v>
      </c>
      <c r="V15" s="9" t="s">
        <v>445</v>
      </c>
    </row>
    <row r="16" spans="1:22" x14ac:dyDescent="0.3">
      <c r="A16" s="4" t="s">
        <v>469</v>
      </c>
      <c r="B16" s="5" t="s">
        <v>17</v>
      </c>
      <c r="C16" s="5" t="s">
        <v>112</v>
      </c>
      <c r="D16" s="5" t="s">
        <v>155</v>
      </c>
      <c r="E16" s="5" t="s">
        <v>258</v>
      </c>
      <c r="F16" s="5" t="s">
        <v>330</v>
      </c>
      <c r="G16" s="16">
        <v>46135</v>
      </c>
      <c r="H16" s="5">
        <v>2</v>
      </c>
      <c r="I16" s="5" t="s">
        <v>447</v>
      </c>
      <c r="J16" s="5" t="s">
        <v>448</v>
      </c>
      <c r="K16" s="5" t="s">
        <v>449</v>
      </c>
      <c r="L16" s="5">
        <v>45</v>
      </c>
      <c r="M16" s="5">
        <v>55</v>
      </c>
      <c r="N16" s="5" t="s">
        <v>9</v>
      </c>
      <c r="O16" s="5">
        <v>2552000</v>
      </c>
      <c r="P16" s="5">
        <v>1666000</v>
      </c>
      <c r="Q16" s="5">
        <v>886000</v>
      </c>
      <c r="R16" s="5">
        <v>10</v>
      </c>
      <c r="S16" s="5">
        <v>127.7</v>
      </c>
      <c r="T16" s="5">
        <v>107.3</v>
      </c>
      <c r="U16" s="5" t="s">
        <v>444</v>
      </c>
      <c r="V16" s="6" t="s">
        <v>445</v>
      </c>
    </row>
    <row r="17" spans="1:22" x14ac:dyDescent="0.3">
      <c r="A17" s="7" t="s">
        <v>470</v>
      </c>
      <c r="B17" s="8" t="s">
        <v>63</v>
      </c>
      <c r="C17" s="8" t="s">
        <v>115</v>
      </c>
      <c r="D17" s="8" t="s">
        <v>155</v>
      </c>
      <c r="E17" s="8" t="s">
        <v>258</v>
      </c>
      <c r="F17" s="8" t="s">
        <v>333</v>
      </c>
      <c r="G17" s="17">
        <v>46161</v>
      </c>
      <c r="H17" s="8">
        <v>2</v>
      </c>
      <c r="I17" s="8" t="s">
        <v>453</v>
      </c>
      <c r="J17" s="8" t="s">
        <v>454</v>
      </c>
      <c r="K17" s="8" t="s">
        <v>449</v>
      </c>
      <c r="L17" s="8">
        <v>24</v>
      </c>
      <c r="M17" s="8">
        <v>29</v>
      </c>
      <c r="N17" s="8" t="s">
        <v>9</v>
      </c>
      <c r="O17" s="8">
        <v>4574000</v>
      </c>
      <c r="P17" s="8">
        <v>3293000</v>
      </c>
      <c r="Q17" s="8">
        <v>1281000</v>
      </c>
      <c r="R17" s="8">
        <v>7</v>
      </c>
      <c r="S17" s="8">
        <v>90.2</v>
      </c>
      <c r="T17" s="8">
        <v>80.400000000000006</v>
      </c>
      <c r="U17" s="8" t="s">
        <v>444</v>
      </c>
      <c r="V17" s="9" t="s">
        <v>445</v>
      </c>
    </row>
    <row r="18" spans="1:22" x14ac:dyDescent="0.3">
      <c r="A18" s="4" t="s">
        <v>471</v>
      </c>
      <c r="B18" s="5" t="s">
        <v>31</v>
      </c>
      <c r="C18" s="5" t="s">
        <v>139</v>
      </c>
      <c r="D18" s="5" t="s">
        <v>155</v>
      </c>
      <c r="E18" s="5" t="s">
        <v>258</v>
      </c>
      <c r="F18" s="5" t="s">
        <v>336</v>
      </c>
      <c r="G18" s="16">
        <v>46116</v>
      </c>
      <c r="H18" s="5">
        <v>2</v>
      </c>
      <c r="I18" s="5" t="s">
        <v>465</v>
      </c>
      <c r="J18" s="5" t="s">
        <v>459</v>
      </c>
      <c r="K18" s="5" t="s">
        <v>443</v>
      </c>
      <c r="L18" s="5">
        <v>28</v>
      </c>
      <c r="M18" s="5">
        <v>28</v>
      </c>
      <c r="N18" s="5" t="s">
        <v>9</v>
      </c>
      <c r="O18" s="5">
        <v>1326000</v>
      </c>
      <c r="P18" s="5">
        <v>944000</v>
      </c>
      <c r="Q18" s="5">
        <v>382000</v>
      </c>
      <c r="R18" s="5">
        <v>10</v>
      </c>
      <c r="S18" s="5">
        <v>121.8</v>
      </c>
      <c r="T18" s="5">
        <v>103.6</v>
      </c>
      <c r="U18" s="5" t="s">
        <v>444</v>
      </c>
      <c r="V18" s="6" t="s">
        <v>445</v>
      </c>
    </row>
    <row r="19" spans="1:22" x14ac:dyDescent="0.3">
      <c r="A19" s="7" t="s">
        <v>472</v>
      </c>
      <c r="B19" s="8" t="s">
        <v>31</v>
      </c>
      <c r="C19" s="8" t="s">
        <v>136</v>
      </c>
      <c r="D19" s="8" t="s">
        <v>155</v>
      </c>
      <c r="E19" s="8" t="s">
        <v>258</v>
      </c>
      <c r="F19" s="8" t="s">
        <v>340</v>
      </c>
      <c r="G19" s="17">
        <v>46120</v>
      </c>
      <c r="H19" s="8">
        <v>2</v>
      </c>
      <c r="I19" s="8" t="s">
        <v>441</v>
      </c>
      <c r="J19" s="8" t="s">
        <v>442</v>
      </c>
      <c r="K19" s="8" t="s">
        <v>443</v>
      </c>
      <c r="L19" s="8">
        <v>20</v>
      </c>
      <c r="M19" s="8">
        <v>21</v>
      </c>
      <c r="N19" s="8" t="s">
        <v>9</v>
      </c>
      <c r="O19" s="8">
        <v>2280000</v>
      </c>
      <c r="P19" s="8">
        <v>1462000</v>
      </c>
      <c r="Q19" s="8">
        <v>818000</v>
      </c>
      <c r="R19" s="8">
        <v>9</v>
      </c>
      <c r="S19" s="8">
        <v>116.8</v>
      </c>
      <c r="T19" s="8">
        <v>100.5</v>
      </c>
      <c r="U19" s="8" t="s">
        <v>248</v>
      </c>
      <c r="V19" s="9" t="s">
        <v>445</v>
      </c>
    </row>
    <row r="20" spans="1:22" x14ac:dyDescent="0.3">
      <c r="A20" s="4" t="s">
        <v>473</v>
      </c>
      <c r="B20" s="5" t="s">
        <v>69</v>
      </c>
      <c r="C20" s="5" t="s">
        <v>115</v>
      </c>
      <c r="D20" s="5" t="s">
        <v>155</v>
      </c>
      <c r="E20" s="5" t="s">
        <v>258</v>
      </c>
      <c r="F20" s="5" t="s">
        <v>343</v>
      </c>
      <c r="G20" s="16">
        <v>46184</v>
      </c>
      <c r="H20" s="5">
        <v>2</v>
      </c>
      <c r="I20" s="5" t="s">
        <v>453</v>
      </c>
      <c r="J20" s="5" t="s">
        <v>454</v>
      </c>
      <c r="K20" s="5" t="s">
        <v>449</v>
      </c>
      <c r="L20" s="5">
        <v>53</v>
      </c>
      <c r="M20" s="5">
        <v>53</v>
      </c>
      <c r="N20" s="5" t="s">
        <v>9</v>
      </c>
      <c r="O20" s="5">
        <v>4242000</v>
      </c>
      <c r="P20" s="5">
        <v>2784000</v>
      </c>
      <c r="Q20" s="5">
        <v>1458000</v>
      </c>
      <c r="R20" s="5">
        <v>5</v>
      </c>
      <c r="S20" s="5">
        <v>123.4</v>
      </c>
      <c r="T20" s="5">
        <v>108.2</v>
      </c>
      <c r="U20" s="5" t="s">
        <v>444</v>
      </c>
      <c r="V20" s="6" t="s">
        <v>445</v>
      </c>
    </row>
    <row r="21" spans="1:22" x14ac:dyDescent="0.3">
      <c r="A21" s="7" t="s">
        <v>474</v>
      </c>
      <c r="B21" s="8" t="s">
        <v>33</v>
      </c>
      <c r="C21" s="8" t="s">
        <v>112</v>
      </c>
      <c r="D21" s="8" t="s">
        <v>155</v>
      </c>
      <c r="E21" s="8" t="s">
        <v>258</v>
      </c>
      <c r="F21" s="8" t="s">
        <v>347</v>
      </c>
      <c r="G21" s="17">
        <v>46137</v>
      </c>
      <c r="H21" s="8">
        <v>2</v>
      </c>
      <c r="I21" s="8" t="s">
        <v>447</v>
      </c>
      <c r="J21" s="8" t="s">
        <v>448</v>
      </c>
      <c r="K21" s="8" t="s">
        <v>449</v>
      </c>
      <c r="L21" s="8">
        <v>35</v>
      </c>
      <c r="M21" s="8">
        <v>35</v>
      </c>
      <c r="N21" s="8" t="s">
        <v>9</v>
      </c>
      <c r="O21" s="8">
        <v>2530000</v>
      </c>
      <c r="P21" s="8">
        <v>1832000</v>
      </c>
      <c r="Q21" s="8">
        <v>698000</v>
      </c>
      <c r="R21" s="8">
        <v>10</v>
      </c>
      <c r="S21" s="8">
        <v>119.8</v>
      </c>
      <c r="T21" s="8">
        <v>105.8</v>
      </c>
      <c r="U21" s="8" t="s">
        <v>444</v>
      </c>
      <c r="V21" s="9" t="s">
        <v>445</v>
      </c>
    </row>
    <row r="22" spans="1:22" x14ac:dyDescent="0.3">
      <c r="A22" s="4" t="s">
        <v>475</v>
      </c>
      <c r="B22" s="5" t="s">
        <v>61</v>
      </c>
      <c r="C22" s="5" t="s">
        <v>118</v>
      </c>
      <c r="D22" s="5" t="s">
        <v>161</v>
      </c>
      <c r="E22" s="5" t="s">
        <v>258</v>
      </c>
      <c r="F22" s="5" t="s">
        <v>351</v>
      </c>
      <c r="G22" s="16">
        <v>46217</v>
      </c>
      <c r="H22" s="5">
        <v>3</v>
      </c>
      <c r="I22" s="5" t="s">
        <v>451</v>
      </c>
      <c r="J22" s="5" t="s">
        <v>442</v>
      </c>
      <c r="K22" s="5" t="s">
        <v>443</v>
      </c>
      <c r="L22" s="5">
        <v>36</v>
      </c>
      <c r="M22" s="5">
        <v>40</v>
      </c>
      <c r="N22" s="5" t="s">
        <v>9</v>
      </c>
      <c r="O22" s="5">
        <v>2716000</v>
      </c>
      <c r="P22" s="5">
        <v>1715000</v>
      </c>
      <c r="Q22" s="5">
        <v>1001000</v>
      </c>
      <c r="R22" s="5">
        <v>7</v>
      </c>
      <c r="S22" s="5">
        <v>116.5</v>
      </c>
      <c r="T22" s="5">
        <v>93.2</v>
      </c>
      <c r="U22" s="5" t="s">
        <v>444</v>
      </c>
      <c r="V22" s="6" t="s">
        <v>445</v>
      </c>
    </row>
    <row r="23" spans="1:22" x14ac:dyDescent="0.3">
      <c r="A23" s="7" t="s">
        <v>476</v>
      </c>
      <c r="B23" s="8" t="s">
        <v>49</v>
      </c>
      <c r="C23" s="8" t="s">
        <v>112</v>
      </c>
      <c r="D23" s="8" t="s">
        <v>161</v>
      </c>
      <c r="E23" s="8" t="s">
        <v>258</v>
      </c>
      <c r="F23" s="8" t="s">
        <v>354</v>
      </c>
      <c r="G23" s="17">
        <v>46286</v>
      </c>
      <c r="H23" s="8">
        <v>3</v>
      </c>
      <c r="I23" s="8" t="s">
        <v>458</v>
      </c>
      <c r="J23" s="8" t="s">
        <v>459</v>
      </c>
      <c r="K23" s="8" t="s">
        <v>443</v>
      </c>
      <c r="L23" s="8">
        <v>53</v>
      </c>
      <c r="M23" s="8">
        <v>57</v>
      </c>
      <c r="N23" s="8" t="s">
        <v>9</v>
      </c>
      <c r="O23" s="8">
        <v>2380000</v>
      </c>
      <c r="P23" s="8">
        <v>1660000</v>
      </c>
      <c r="Q23" s="8">
        <v>720000</v>
      </c>
      <c r="R23" s="8">
        <v>9</v>
      </c>
      <c r="S23" s="8">
        <v>91</v>
      </c>
      <c r="T23" s="8">
        <v>69.7</v>
      </c>
      <c r="U23" s="8" t="s">
        <v>444</v>
      </c>
      <c r="V23" s="9" t="s">
        <v>445</v>
      </c>
    </row>
    <row r="24" spans="1:22" x14ac:dyDescent="0.3">
      <c r="A24" s="4" t="s">
        <v>477</v>
      </c>
      <c r="B24" s="5" t="s">
        <v>73</v>
      </c>
      <c r="C24" s="5" t="s">
        <v>139</v>
      </c>
      <c r="D24" s="5" t="s">
        <v>161</v>
      </c>
      <c r="E24" s="5" t="s">
        <v>258</v>
      </c>
      <c r="F24" s="5" t="s">
        <v>357</v>
      </c>
      <c r="G24" s="16">
        <v>46238</v>
      </c>
      <c r="H24" s="5">
        <v>3</v>
      </c>
      <c r="I24" s="5" t="s">
        <v>465</v>
      </c>
      <c r="J24" s="5" t="s">
        <v>459</v>
      </c>
      <c r="K24" s="5" t="s">
        <v>443</v>
      </c>
      <c r="L24" s="5">
        <v>26</v>
      </c>
      <c r="M24" s="5">
        <v>26</v>
      </c>
      <c r="N24" s="5" t="s">
        <v>9</v>
      </c>
      <c r="O24" s="5">
        <v>1462000</v>
      </c>
      <c r="P24" s="5">
        <v>1097000</v>
      </c>
      <c r="Q24" s="5">
        <v>365000</v>
      </c>
      <c r="R24" s="5">
        <v>10</v>
      </c>
      <c r="S24" s="5">
        <v>82.1</v>
      </c>
      <c r="T24" s="5">
        <v>68.8</v>
      </c>
      <c r="U24" s="5" t="s">
        <v>244</v>
      </c>
      <c r="V24" s="6" t="s">
        <v>445</v>
      </c>
    </row>
    <row r="25" spans="1:22" x14ac:dyDescent="0.3">
      <c r="A25" s="7" t="s">
        <v>478</v>
      </c>
      <c r="B25" s="8" t="s">
        <v>27</v>
      </c>
      <c r="C25" s="8" t="s">
        <v>118</v>
      </c>
      <c r="D25" s="8" t="s">
        <v>161</v>
      </c>
      <c r="E25" s="8" t="s">
        <v>258</v>
      </c>
      <c r="F25" s="8" t="s">
        <v>361</v>
      </c>
      <c r="G25" s="17">
        <v>46210</v>
      </c>
      <c r="H25" s="8">
        <v>3</v>
      </c>
      <c r="I25" s="8" t="s">
        <v>451</v>
      </c>
      <c r="J25" s="8" t="s">
        <v>442</v>
      </c>
      <c r="K25" s="8" t="s">
        <v>443</v>
      </c>
      <c r="L25" s="8">
        <v>37</v>
      </c>
      <c r="M25" s="8">
        <v>37</v>
      </c>
      <c r="N25" s="8" t="s">
        <v>9</v>
      </c>
      <c r="O25" s="8">
        <v>2756000</v>
      </c>
      <c r="P25" s="8">
        <v>2052000</v>
      </c>
      <c r="Q25" s="8">
        <v>704000</v>
      </c>
      <c r="R25" s="8">
        <v>9</v>
      </c>
      <c r="S25" s="8">
        <v>99.8</v>
      </c>
      <c r="T25" s="8">
        <v>78.8</v>
      </c>
      <c r="U25" s="8" t="s">
        <v>444</v>
      </c>
      <c r="V25" s="9" t="s">
        <v>445</v>
      </c>
    </row>
    <row r="26" spans="1:22" x14ac:dyDescent="0.3">
      <c r="A26" s="4" t="s">
        <v>479</v>
      </c>
      <c r="B26" s="5" t="s">
        <v>85</v>
      </c>
      <c r="C26" s="5" t="s">
        <v>136</v>
      </c>
      <c r="D26" s="5" t="s">
        <v>161</v>
      </c>
      <c r="E26" s="5" t="s">
        <v>258</v>
      </c>
      <c r="F26" s="5" t="s">
        <v>365</v>
      </c>
      <c r="G26" s="16">
        <v>46280</v>
      </c>
      <c r="H26" s="5">
        <v>3</v>
      </c>
      <c r="I26" s="5" t="s">
        <v>441</v>
      </c>
      <c r="J26" s="5" t="s">
        <v>442</v>
      </c>
      <c r="K26" s="5" t="s">
        <v>443</v>
      </c>
      <c r="L26" s="5">
        <v>22</v>
      </c>
      <c r="M26" s="5">
        <v>22</v>
      </c>
      <c r="N26" s="5" t="s">
        <v>9</v>
      </c>
      <c r="O26" s="5">
        <v>2025000</v>
      </c>
      <c r="P26" s="5">
        <v>1357000</v>
      </c>
      <c r="Q26" s="5">
        <v>668000</v>
      </c>
      <c r="R26" s="5">
        <v>10</v>
      </c>
      <c r="S26" s="5">
        <v>112.3</v>
      </c>
      <c r="T26" s="5">
        <v>86.2</v>
      </c>
      <c r="U26" s="5" t="s">
        <v>444</v>
      </c>
      <c r="V26" s="6" t="s">
        <v>445</v>
      </c>
    </row>
    <row r="27" spans="1:22" x14ac:dyDescent="0.3">
      <c r="A27" s="7" t="s">
        <v>480</v>
      </c>
      <c r="B27" s="8" t="s">
        <v>45</v>
      </c>
      <c r="C27" s="8" t="s">
        <v>112</v>
      </c>
      <c r="D27" s="8" t="s">
        <v>161</v>
      </c>
      <c r="E27" s="8" t="s">
        <v>258</v>
      </c>
      <c r="F27" s="8" t="s">
        <v>369</v>
      </c>
      <c r="G27" s="17">
        <v>46291</v>
      </c>
      <c r="H27" s="8">
        <v>3</v>
      </c>
      <c r="I27" s="8" t="s">
        <v>447</v>
      </c>
      <c r="J27" s="8" t="s">
        <v>448</v>
      </c>
      <c r="K27" s="8" t="s">
        <v>449</v>
      </c>
      <c r="L27" s="8">
        <v>24</v>
      </c>
      <c r="M27" s="8">
        <v>24</v>
      </c>
      <c r="N27" s="8" t="s">
        <v>9</v>
      </c>
      <c r="O27" s="8">
        <v>2398000</v>
      </c>
      <c r="P27" s="8">
        <v>1559000</v>
      </c>
      <c r="Q27" s="8">
        <v>839000</v>
      </c>
      <c r="R27" s="8">
        <v>8</v>
      </c>
      <c r="S27" s="8">
        <v>128.80000000000001</v>
      </c>
      <c r="T27" s="8">
        <v>116.9</v>
      </c>
      <c r="U27" s="8" t="s">
        <v>444</v>
      </c>
      <c r="V27" s="9" t="s">
        <v>445</v>
      </c>
    </row>
    <row r="28" spans="1:22" x14ac:dyDescent="0.3">
      <c r="A28" s="4" t="s">
        <v>481</v>
      </c>
      <c r="B28" s="5" t="s">
        <v>83</v>
      </c>
      <c r="C28" s="5" t="s">
        <v>136</v>
      </c>
      <c r="D28" s="5" t="s">
        <v>161</v>
      </c>
      <c r="E28" s="5" t="s">
        <v>258</v>
      </c>
      <c r="F28" s="5" t="s">
        <v>372</v>
      </c>
      <c r="G28" s="16">
        <v>46243</v>
      </c>
      <c r="H28" s="5">
        <v>3</v>
      </c>
      <c r="I28" s="5" t="s">
        <v>441</v>
      </c>
      <c r="J28" s="5" t="s">
        <v>442</v>
      </c>
      <c r="K28" s="5" t="s">
        <v>443</v>
      </c>
      <c r="L28" s="5">
        <v>43</v>
      </c>
      <c r="M28" s="5">
        <v>52</v>
      </c>
      <c r="N28" s="5" t="s">
        <v>9</v>
      </c>
      <c r="O28" s="5">
        <v>2079000</v>
      </c>
      <c r="P28" s="5">
        <v>1316000</v>
      </c>
      <c r="Q28" s="5">
        <v>763000</v>
      </c>
      <c r="R28" s="5">
        <v>8</v>
      </c>
      <c r="S28" s="5">
        <v>129.69999999999999</v>
      </c>
      <c r="T28" s="5">
        <v>105.2</v>
      </c>
      <c r="U28" s="5" t="s">
        <v>444</v>
      </c>
      <c r="V28" s="6" t="s">
        <v>445</v>
      </c>
    </row>
    <row r="29" spans="1:22" x14ac:dyDescent="0.3">
      <c r="A29" s="7" t="s">
        <v>482</v>
      </c>
      <c r="B29" s="8" t="s">
        <v>6</v>
      </c>
      <c r="C29" s="8" t="s">
        <v>112</v>
      </c>
      <c r="D29" s="8" t="s">
        <v>161</v>
      </c>
      <c r="E29" s="8" t="s">
        <v>258</v>
      </c>
      <c r="F29" s="8" t="s">
        <v>375</v>
      </c>
      <c r="G29" s="17">
        <v>46225</v>
      </c>
      <c r="H29" s="8">
        <v>3</v>
      </c>
      <c r="I29" s="8" t="s">
        <v>483</v>
      </c>
      <c r="J29" s="8" t="s">
        <v>484</v>
      </c>
      <c r="K29" s="8" t="s">
        <v>449</v>
      </c>
      <c r="L29" s="8">
        <v>30</v>
      </c>
      <c r="M29" s="8">
        <v>32</v>
      </c>
      <c r="N29" s="8" t="s">
        <v>9</v>
      </c>
      <c r="O29" s="8">
        <v>5963000</v>
      </c>
      <c r="P29" s="8">
        <v>4452000</v>
      </c>
      <c r="Q29" s="8">
        <v>1511000</v>
      </c>
      <c r="R29" s="8">
        <v>10</v>
      </c>
      <c r="S29" s="8">
        <v>88.8</v>
      </c>
      <c r="T29" s="8">
        <v>75.8</v>
      </c>
      <c r="U29" s="8" t="s">
        <v>444</v>
      </c>
      <c r="V29" s="9" t="s">
        <v>445</v>
      </c>
    </row>
    <row r="30" spans="1:22" x14ac:dyDescent="0.3">
      <c r="A30" s="4" t="s">
        <v>485</v>
      </c>
      <c r="B30" s="5" t="s">
        <v>11</v>
      </c>
      <c r="C30" s="5" t="s">
        <v>136</v>
      </c>
      <c r="D30" s="5" t="s">
        <v>161</v>
      </c>
      <c r="E30" s="5" t="s">
        <v>258</v>
      </c>
      <c r="F30" s="5" t="s">
        <v>379</v>
      </c>
      <c r="G30" s="16">
        <v>46280</v>
      </c>
      <c r="H30" s="5">
        <v>3</v>
      </c>
      <c r="I30" s="5" t="s">
        <v>441</v>
      </c>
      <c r="J30" s="5" t="s">
        <v>442</v>
      </c>
      <c r="K30" s="5" t="s">
        <v>443</v>
      </c>
      <c r="L30" s="5">
        <v>55</v>
      </c>
      <c r="M30" s="5">
        <v>71</v>
      </c>
      <c r="N30" s="5" t="s">
        <v>8</v>
      </c>
      <c r="O30" s="5">
        <v>2074000</v>
      </c>
      <c r="P30" s="5">
        <v>1593000</v>
      </c>
      <c r="Q30" s="5">
        <v>481000</v>
      </c>
      <c r="R30" s="5">
        <v>6</v>
      </c>
      <c r="S30" s="5">
        <v>111.2</v>
      </c>
      <c r="T30" s="5">
        <v>97.6</v>
      </c>
      <c r="U30" s="5" t="s">
        <v>250</v>
      </c>
      <c r="V30" s="6" t="s">
        <v>445</v>
      </c>
    </row>
    <row r="31" spans="1:22" x14ac:dyDescent="0.3">
      <c r="A31" s="7" t="s">
        <v>486</v>
      </c>
      <c r="B31" s="8" t="s">
        <v>23</v>
      </c>
      <c r="C31" s="8" t="s">
        <v>112</v>
      </c>
      <c r="D31" s="8" t="s">
        <v>167</v>
      </c>
      <c r="E31" s="8" t="s">
        <v>258</v>
      </c>
      <c r="F31" s="8" t="s">
        <v>382</v>
      </c>
      <c r="G31" s="17">
        <v>46313</v>
      </c>
      <c r="H31" s="8">
        <v>4</v>
      </c>
      <c r="I31" s="8" t="s">
        <v>483</v>
      </c>
      <c r="J31" s="8" t="s">
        <v>484</v>
      </c>
      <c r="K31" s="8" t="s">
        <v>449</v>
      </c>
      <c r="L31" s="8">
        <v>43</v>
      </c>
      <c r="M31" s="8">
        <v>43</v>
      </c>
      <c r="N31" s="8" t="s">
        <v>9</v>
      </c>
      <c r="O31" s="8">
        <v>5429000</v>
      </c>
      <c r="P31" s="8">
        <v>4082000</v>
      </c>
      <c r="Q31" s="8">
        <v>1347000</v>
      </c>
      <c r="R31" s="8">
        <v>10</v>
      </c>
      <c r="S31" s="8">
        <v>84.7</v>
      </c>
      <c r="T31" s="8">
        <v>69.2</v>
      </c>
      <c r="U31" s="8" t="s">
        <v>252</v>
      </c>
      <c r="V31" s="9" t="s">
        <v>445</v>
      </c>
    </row>
    <row r="32" spans="1:22" x14ac:dyDescent="0.3">
      <c r="A32" s="4" t="s">
        <v>487</v>
      </c>
      <c r="B32" s="5" t="s">
        <v>39</v>
      </c>
      <c r="C32" s="5" t="s">
        <v>115</v>
      </c>
      <c r="D32" s="5" t="s">
        <v>167</v>
      </c>
      <c r="E32" s="5" t="s">
        <v>258</v>
      </c>
      <c r="F32" s="5" t="s">
        <v>385</v>
      </c>
      <c r="G32" s="16">
        <v>46371</v>
      </c>
      <c r="H32" s="5">
        <v>4</v>
      </c>
      <c r="I32" s="5" t="s">
        <v>453</v>
      </c>
      <c r="J32" s="5" t="s">
        <v>454</v>
      </c>
      <c r="K32" s="5" t="s">
        <v>449</v>
      </c>
      <c r="L32" s="5">
        <v>38</v>
      </c>
      <c r="M32" s="5">
        <v>38</v>
      </c>
      <c r="N32" s="5" t="s">
        <v>9</v>
      </c>
      <c r="O32" s="5">
        <v>3970000</v>
      </c>
      <c r="P32" s="5">
        <v>2697000</v>
      </c>
      <c r="Q32" s="5">
        <v>1273000</v>
      </c>
      <c r="R32" s="5">
        <v>9</v>
      </c>
      <c r="S32" s="5">
        <v>89.6</v>
      </c>
      <c r="T32" s="5">
        <v>67.400000000000006</v>
      </c>
      <c r="U32" s="5" t="s">
        <v>444</v>
      </c>
      <c r="V32" s="6" t="s">
        <v>445</v>
      </c>
    </row>
    <row r="33" spans="1:22" x14ac:dyDescent="0.3">
      <c r="A33" s="7" t="s">
        <v>488</v>
      </c>
      <c r="B33" s="8" t="s">
        <v>55</v>
      </c>
      <c r="C33" s="8" t="s">
        <v>112</v>
      </c>
      <c r="D33" s="8" t="s">
        <v>167</v>
      </c>
      <c r="E33" s="8" t="s">
        <v>258</v>
      </c>
      <c r="F33" s="8" t="s">
        <v>389</v>
      </c>
      <c r="G33" s="17">
        <v>46332</v>
      </c>
      <c r="H33" s="8">
        <v>4</v>
      </c>
      <c r="I33" s="8" t="s">
        <v>458</v>
      </c>
      <c r="J33" s="8" t="s">
        <v>459</v>
      </c>
      <c r="K33" s="8" t="s">
        <v>443</v>
      </c>
      <c r="L33" s="8">
        <v>30</v>
      </c>
      <c r="M33" s="8">
        <v>33</v>
      </c>
      <c r="N33" s="8" t="s">
        <v>9</v>
      </c>
      <c r="O33" s="8">
        <v>2412000</v>
      </c>
      <c r="P33" s="8">
        <v>1810000</v>
      </c>
      <c r="Q33" s="8">
        <v>602000</v>
      </c>
      <c r="R33" s="8">
        <v>8</v>
      </c>
      <c r="S33" s="8">
        <v>114.8</v>
      </c>
      <c r="T33" s="8">
        <v>94.8</v>
      </c>
      <c r="U33" s="8" t="s">
        <v>444</v>
      </c>
      <c r="V33" s="9" t="s">
        <v>445</v>
      </c>
    </row>
    <row r="34" spans="1:22" x14ac:dyDescent="0.3">
      <c r="A34" s="4" t="s">
        <v>489</v>
      </c>
      <c r="B34" s="5" t="s">
        <v>65</v>
      </c>
      <c r="C34" s="5" t="s">
        <v>118</v>
      </c>
      <c r="D34" s="5" t="s">
        <v>167</v>
      </c>
      <c r="E34" s="5" t="s">
        <v>258</v>
      </c>
      <c r="F34" s="5" t="s">
        <v>392</v>
      </c>
      <c r="G34" s="16">
        <v>46349</v>
      </c>
      <c r="H34" s="5">
        <v>4</v>
      </c>
      <c r="I34" s="5" t="s">
        <v>451</v>
      </c>
      <c r="J34" s="5" t="s">
        <v>442</v>
      </c>
      <c r="K34" s="5" t="s">
        <v>443</v>
      </c>
      <c r="L34" s="5">
        <v>35</v>
      </c>
      <c r="M34" s="5">
        <v>36</v>
      </c>
      <c r="N34" s="5" t="s">
        <v>9</v>
      </c>
      <c r="O34" s="5">
        <v>3068000</v>
      </c>
      <c r="P34" s="5">
        <v>2156000</v>
      </c>
      <c r="Q34" s="5">
        <v>912000</v>
      </c>
      <c r="R34" s="5">
        <v>8</v>
      </c>
      <c r="S34" s="5">
        <v>84.8</v>
      </c>
      <c r="T34" s="5">
        <v>73.8</v>
      </c>
      <c r="U34" s="5" t="s">
        <v>444</v>
      </c>
      <c r="V34" s="6" t="s">
        <v>445</v>
      </c>
    </row>
    <row r="35" spans="1:22" x14ac:dyDescent="0.3">
      <c r="A35" s="7" t="s">
        <v>490</v>
      </c>
      <c r="B35" s="8" t="s">
        <v>71</v>
      </c>
      <c r="C35" s="8" t="s">
        <v>112</v>
      </c>
      <c r="D35" s="8" t="s">
        <v>167</v>
      </c>
      <c r="E35" s="8" t="s">
        <v>258</v>
      </c>
      <c r="F35" s="8" t="s">
        <v>396</v>
      </c>
      <c r="G35" s="17">
        <v>46299</v>
      </c>
      <c r="H35" s="8">
        <v>4</v>
      </c>
      <c r="I35" s="8" t="s">
        <v>483</v>
      </c>
      <c r="J35" s="8" t="s">
        <v>484</v>
      </c>
      <c r="K35" s="8" t="s">
        <v>449</v>
      </c>
      <c r="L35" s="8">
        <v>16</v>
      </c>
      <c r="M35" s="8">
        <v>16</v>
      </c>
      <c r="N35" s="8" t="s">
        <v>9</v>
      </c>
      <c r="O35" s="8">
        <v>6437000</v>
      </c>
      <c r="P35" s="8">
        <v>4506000</v>
      </c>
      <c r="Q35" s="8">
        <v>1931000</v>
      </c>
      <c r="R35" s="8">
        <v>10</v>
      </c>
      <c r="S35" s="8">
        <v>112.5</v>
      </c>
      <c r="T35" s="8">
        <v>84.1</v>
      </c>
      <c r="U35" s="8" t="s">
        <v>240</v>
      </c>
      <c r="V35" s="9" t="s">
        <v>445</v>
      </c>
    </row>
    <row r="36" spans="1:22" x14ac:dyDescent="0.3">
      <c r="A36" s="4" t="s">
        <v>491</v>
      </c>
      <c r="B36" s="5" t="s">
        <v>57</v>
      </c>
      <c r="C36" s="5" t="s">
        <v>112</v>
      </c>
      <c r="D36" s="5" t="s">
        <v>167</v>
      </c>
      <c r="E36" s="5" t="s">
        <v>258</v>
      </c>
      <c r="F36" s="5" t="s">
        <v>400</v>
      </c>
      <c r="G36" s="16">
        <v>46321</v>
      </c>
      <c r="H36" s="5">
        <v>4</v>
      </c>
      <c r="I36" s="5" t="s">
        <v>447</v>
      </c>
      <c r="J36" s="5" t="s">
        <v>448</v>
      </c>
      <c r="K36" s="5" t="s">
        <v>449</v>
      </c>
      <c r="L36" s="5">
        <v>55</v>
      </c>
      <c r="M36" s="5">
        <v>55</v>
      </c>
      <c r="N36" s="5" t="s">
        <v>9</v>
      </c>
      <c r="O36" s="5">
        <v>2208000</v>
      </c>
      <c r="P36" s="5">
        <v>1700000</v>
      </c>
      <c r="Q36" s="5">
        <v>508000</v>
      </c>
      <c r="R36" s="5">
        <v>8</v>
      </c>
      <c r="S36" s="5">
        <v>129.6</v>
      </c>
      <c r="T36" s="5">
        <v>101.8</v>
      </c>
      <c r="U36" s="5" t="s">
        <v>444</v>
      </c>
      <c r="V36" s="6" t="s">
        <v>445</v>
      </c>
    </row>
    <row r="37" spans="1:22" x14ac:dyDescent="0.3">
      <c r="A37" s="7" t="s">
        <v>492</v>
      </c>
      <c r="B37" s="8" t="s">
        <v>81</v>
      </c>
      <c r="C37" s="8" t="s">
        <v>112</v>
      </c>
      <c r="D37" s="8" t="s">
        <v>167</v>
      </c>
      <c r="E37" s="8" t="s">
        <v>258</v>
      </c>
      <c r="F37" s="8" t="s">
        <v>404</v>
      </c>
      <c r="G37" s="17">
        <v>46365</v>
      </c>
      <c r="H37" s="8">
        <v>4</v>
      </c>
      <c r="I37" s="8" t="s">
        <v>483</v>
      </c>
      <c r="J37" s="8" t="s">
        <v>484</v>
      </c>
      <c r="K37" s="8" t="s">
        <v>449</v>
      </c>
      <c r="L37" s="8">
        <v>43</v>
      </c>
      <c r="M37" s="8">
        <v>43</v>
      </c>
      <c r="N37" s="8" t="s">
        <v>9</v>
      </c>
      <c r="O37" s="8">
        <v>5106000</v>
      </c>
      <c r="P37" s="8">
        <v>3445000</v>
      </c>
      <c r="Q37" s="8">
        <v>1661000</v>
      </c>
      <c r="R37" s="8">
        <v>8</v>
      </c>
      <c r="S37" s="8">
        <v>120</v>
      </c>
      <c r="T37" s="8">
        <v>91</v>
      </c>
      <c r="U37" s="8" t="s">
        <v>444</v>
      </c>
      <c r="V37" s="9" t="s">
        <v>445</v>
      </c>
    </row>
    <row r="38" spans="1:22" x14ac:dyDescent="0.3">
      <c r="A38" s="4" t="s">
        <v>493</v>
      </c>
      <c r="B38" s="5" t="s">
        <v>6</v>
      </c>
      <c r="C38" s="5" t="s">
        <v>139</v>
      </c>
      <c r="D38" s="5" t="s">
        <v>167</v>
      </c>
      <c r="E38" s="5" t="s">
        <v>258</v>
      </c>
      <c r="F38" s="5" t="s">
        <v>407</v>
      </c>
      <c r="G38" s="16">
        <v>46382</v>
      </c>
      <c r="H38" s="5">
        <v>4</v>
      </c>
      <c r="I38" s="5" t="s">
        <v>465</v>
      </c>
      <c r="J38" s="5" t="s">
        <v>459</v>
      </c>
      <c r="K38" s="5" t="s">
        <v>443</v>
      </c>
      <c r="L38" s="5">
        <v>43</v>
      </c>
      <c r="M38" s="5">
        <v>43</v>
      </c>
      <c r="N38" s="5" t="s">
        <v>8</v>
      </c>
      <c r="O38" s="5">
        <v>1391000</v>
      </c>
      <c r="P38" s="5">
        <v>924000</v>
      </c>
      <c r="Q38" s="5">
        <v>467000</v>
      </c>
      <c r="R38" s="5">
        <v>9</v>
      </c>
      <c r="S38" s="5">
        <v>102.2</v>
      </c>
      <c r="T38" s="5">
        <v>80.5</v>
      </c>
      <c r="U38" s="5" t="s">
        <v>444</v>
      </c>
      <c r="V38" s="6" t="s">
        <v>445</v>
      </c>
    </row>
    <row r="39" spans="1:22" x14ac:dyDescent="0.3">
      <c r="A39" s="7" t="s">
        <v>494</v>
      </c>
      <c r="B39" s="8" t="s">
        <v>59</v>
      </c>
      <c r="C39" s="8" t="s">
        <v>118</v>
      </c>
      <c r="D39" s="8" t="s">
        <v>167</v>
      </c>
      <c r="E39" s="8" t="s">
        <v>258</v>
      </c>
      <c r="F39" s="8" t="s">
        <v>411</v>
      </c>
      <c r="G39" s="17">
        <v>46339</v>
      </c>
      <c r="H39" s="8">
        <v>4</v>
      </c>
      <c r="I39" s="8" t="s">
        <v>451</v>
      </c>
      <c r="J39" s="8" t="s">
        <v>442</v>
      </c>
      <c r="K39" s="8" t="s">
        <v>443</v>
      </c>
      <c r="L39" s="8">
        <v>28</v>
      </c>
      <c r="M39" s="8">
        <v>32</v>
      </c>
      <c r="N39" s="8" t="s">
        <v>9</v>
      </c>
      <c r="O39" s="8">
        <v>2603000</v>
      </c>
      <c r="P39" s="8">
        <v>1665000</v>
      </c>
      <c r="Q39" s="8">
        <v>938000</v>
      </c>
      <c r="R39" s="8">
        <v>7</v>
      </c>
      <c r="S39" s="8">
        <v>85.9</v>
      </c>
      <c r="T39" s="8">
        <v>73</v>
      </c>
      <c r="U39" s="8" t="s">
        <v>242</v>
      </c>
      <c r="V39" s="9" t="s">
        <v>445</v>
      </c>
    </row>
    <row r="40" spans="1:22" x14ac:dyDescent="0.3">
      <c r="A40" s="4" t="s">
        <v>495</v>
      </c>
      <c r="B40" s="5" t="s">
        <v>65</v>
      </c>
      <c r="C40" s="5" t="s">
        <v>112</v>
      </c>
      <c r="D40" s="5" t="s">
        <v>167</v>
      </c>
      <c r="E40" s="5" t="s">
        <v>258</v>
      </c>
      <c r="F40" s="5" t="s">
        <v>414</v>
      </c>
      <c r="G40" s="16">
        <v>46378</v>
      </c>
      <c r="H40" s="5">
        <v>4</v>
      </c>
      <c r="I40" s="5" t="s">
        <v>458</v>
      </c>
      <c r="J40" s="5" t="s">
        <v>459</v>
      </c>
      <c r="K40" s="5" t="s">
        <v>443</v>
      </c>
      <c r="L40" s="5">
        <v>18</v>
      </c>
      <c r="M40" s="5">
        <v>18</v>
      </c>
      <c r="N40" s="5" t="s">
        <v>9</v>
      </c>
      <c r="O40" s="5">
        <v>2300000</v>
      </c>
      <c r="P40" s="5">
        <v>1671000</v>
      </c>
      <c r="Q40" s="5">
        <v>629000</v>
      </c>
      <c r="R40" s="5">
        <v>10</v>
      </c>
      <c r="S40" s="5">
        <v>84.9</v>
      </c>
      <c r="T40" s="5">
        <v>66.3</v>
      </c>
      <c r="U40" s="5" t="s">
        <v>444</v>
      </c>
      <c r="V40" s="6" t="s">
        <v>445</v>
      </c>
    </row>
    <row r="41" spans="1:22" x14ac:dyDescent="0.3">
      <c r="A41" s="10" t="s">
        <v>496</v>
      </c>
      <c r="B41" s="11" t="s">
        <v>17</v>
      </c>
      <c r="C41" s="11" t="s">
        <v>115</v>
      </c>
      <c r="D41" s="11" t="s">
        <v>167</v>
      </c>
      <c r="E41" s="11" t="s">
        <v>258</v>
      </c>
      <c r="F41" s="11" t="s">
        <v>418</v>
      </c>
      <c r="G41" s="18">
        <v>46350</v>
      </c>
      <c r="H41" s="11">
        <v>4</v>
      </c>
      <c r="I41" s="11" t="s">
        <v>453</v>
      </c>
      <c r="J41" s="11" t="s">
        <v>454</v>
      </c>
      <c r="K41" s="11" t="s">
        <v>449</v>
      </c>
      <c r="L41" s="11">
        <v>37</v>
      </c>
      <c r="M41" s="11">
        <v>42</v>
      </c>
      <c r="N41" s="11" t="s">
        <v>9</v>
      </c>
      <c r="O41" s="11">
        <v>4015000</v>
      </c>
      <c r="P41" s="11">
        <v>3115000</v>
      </c>
      <c r="Q41" s="11">
        <v>900000</v>
      </c>
      <c r="R41" s="11">
        <v>7</v>
      </c>
      <c r="S41" s="11">
        <v>89.7</v>
      </c>
      <c r="T41" s="11">
        <v>72</v>
      </c>
      <c r="U41" s="11" t="s">
        <v>444</v>
      </c>
      <c r="V41" s="12" t="s">
        <v>445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tabSelected="1" zoomScaleNormal="100" workbookViewId="0">
      <pane ySplit="1" topLeftCell="A5" activePane="bottomLeft" state="frozen"/>
      <selection pane="bottomLeft" activeCell="H9" sqref="H9"/>
    </sheetView>
  </sheetViews>
  <sheetFormatPr baseColWidth="10" defaultColWidth="8.6640625" defaultRowHeight="14.4" x14ac:dyDescent="0.3"/>
  <cols>
    <col min="1" max="1" width="35.77734375" customWidth="1"/>
    <col min="2" max="2" width="27.21875" customWidth="1"/>
    <col min="3" max="3" width="34" customWidth="1"/>
    <col min="4" max="4" width="10" customWidth="1"/>
    <col min="5" max="5" width="12" customWidth="1"/>
    <col min="6" max="6" width="10" customWidth="1"/>
    <col min="7" max="7" width="26" customWidth="1"/>
    <col min="8" max="8" width="33" customWidth="1"/>
    <col min="9" max="9" width="22" customWidth="1"/>
  </cols>
  <sheetData>
    <row r="1" spans="1:9" x14ac:dyDescent="0.3">
      <c r="A1" s="20" t="s">
        <v>497</v>
      </c>
      <c r="B1" s="20" t="s">
        <v>498</v>
      </c>
      <c r="C1" s="20" t="s">
        <v>499</v>
      </c>
      <c r="D1" s="20" t="s">
        <v>500</v>
      </c>
      <c r="E1" s="20" t="s">
        <v>501</v>
      </c>
      <c r="F1" s="20" t="s">
        <v>502</v>
      </c>
      <c r="G1" s="20" t="s">
        <v>503</v>
      </c>
      <c r="H1" s="20" t="s">
        <v>504</v>
      </c>
      <c r="I1" s="20" t="s">
        <v>505</v>
      </c>
    </row>
    <row r="2" spans="1:9" x14ac:dyDescent="0.3">
      <c r="A2" s="24" t="s">
        <v>506</v>
      </c>
      <c r="B2" s="24" t="s">
        <v>507</v>
      </c>
      <c r="C2" s="24" t="s">
        <v>508</v>
      </c>
      <c r="D2" s="21">
        <v>0.13800000000000001</v>
      </c>
      <c r="E2" s="21">
        <f>SUM(Fact_Gestion_NTM!Q2:Q41)/SUM(Fact_Gestion_NTM!O2:O41)</f>
        <v>0.29281618201377302</v>
      </c>
      <c r="F2" s="21">
        <v>0.13800000000000001</v>
      </c>
      <c r="G2" s="23" t="s">
        <v>509</v>
      </c>
      <c r="H2" s="24" t="s">
        <v>510</v>
      </c>
      <c r="I2" s="22" t="str">
        <f>IF(E2&lt;D2,"ALERTA - bajo meta","OK - cumple meta")</f>
        <v>OK - cumple meta</v>
      </c>
    </row>
    <row r="3" spans="1:9" x14ac:dyDescent="0.3">
      <c r="A3" s="24" t="s">
        <v>511</v>
      </c>
      <c r="B3" s="24" t="s">
        <v>512</v>
      </c>
      <c r="C3" s="24" t="s">
        <v>513</v>
      </c>
      <c r="D3" s="21">
        <v>0.6</v>
      </c>
      <c r="E3" s="21">
        <f>COUNTIF(Fact_Gestion_NTM!R2:R41,"&gt;=9")/COUNTA(Fact_Gestion_NTM!R2:R41)</f>
        <v>0.55000000000000004</v>
      </c>
      <c r="F3" s="21">
        <v>0.6</v>
      </c>
      <c r="G3" s="23" t="s">
        <v>509</v>
      </c>
      <c r="H3" s="24" t="s">
        <v>514</v>
      </c>
      <c r="I3" s="22" t="str">
        <f>IF(E3&lt;D3,"ALERTA - bajo meta","OK - cumple meta")</f>
        <v>ALERTA - bajo meta</v>
      </c>
    </row>
    <row r="4" spans="1:9" x14ac:dyDescent="0.3">
      <c r="A4" s="24" t="s">
        <v>515</v>
      </c>
      <c r="B4" s="24" t="s">
        <v>516</v>
      </c>
      <c r="C4" s="24" t="s">
        <v>517</v>
      </c>
      <c r="D4" s="21">
        <v>0.85</v>
      </c>
      <c r="E4" s="21">
        <f>SUMPRODUCT((Fact_Gestion_NTM!M2:M41&lt;=Fact_Gestion_NTM!L2:L41)*1)/COUNTA(Fact_Gestion_NTM!M2:M41)</f>
        <v>0.55000000000000004</v>
      </c>
      <c r="F4" s="21">
        <v>0.85</v>
      </c>
      <c r="G4" s="23" t="s">
        <v>509</v>
      </c>
      <c r="H4" s="24" t="s">
        <v>518</v>
      </c>
      <c r="I4" s="22" t="str">
        <f>IF(E4&lt;D4,"ALERTA - bajo meta","OK - cumple meta")</f>
        <v>ALERTA - bajo meta</v>
      </c>
    </row>
    <row r="5" spans="1:9" x14ac:dyDescent="0.3">
      <c r="A5" s="24" t="s">
        <v>519</v>
      </c>
      <c r="B5" s="24" t="s">
        <v>520</v>
      </c>
      <c r="C5" s="24" t="s">
        <v>521</v>
      </c>
      <c r="D5" s="21">
        <v>0.8</v>
      </c>
      <c r="E5" s="21">
        <f>COUNTIF(Dim_Empleados!D2:D11,"&gt;=40")/COUNTA(Dim_Empleados!A2:A11)</f>
        <v>0.8</v>
      </c>
      <c r="F5" s="21">
        <v>0.8</v>
      </c>
      <c r="G5" s="23" t="s">
        <v>509</v>
      </c>
      <c r="H5" s="24" t="s">
        <v>522</v>
      </c>
      <c r="I5" s="22" t="str">
        <f>IF(E5&lt;D5,"ALERTA - bajo meta","OK - cumple meta")</f>
        <v>OK - cumple meta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Dim_Clientes</vt:lpstr>
      <vt:lpstr>Dim_Empleados</vt:lpstr>
      <vt:lpstr>Dim_Tiempo_Finanzas</vt:lpstr>
      <vt:lpstr>Dim_Capacitacion</vt:lpstr>
      <vt:lpstr>Dim_Tecnicas</vt:lpstr>
      <vt:lpstr>Dim_Ref2025</vt:lpstr>
      <vt:lpstr>Empleado_Proyecto</vt:lpstr>
      <vt:lpstr>Fact_Gestion_NTM</vt:lpstr>
      <vt:lpstr>Resumen_CMI_Automatizacion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Sofía V. Espinosa Solís</cp:lastModifiedBy>
  <cp:revision>0</cp:revision>
  <dcterms:created xsi:type="dcterms:W3CDTF">2026-06-16T20:41:30Z</dcterms:created>
  <dcterms:modified xsi:type="dcterms:W3CDTF">2026-07-03T05:13:44Z</dcterms:modified>
  <dc:language>en-US</dc:language>
</cp:coreProperties>
</file>